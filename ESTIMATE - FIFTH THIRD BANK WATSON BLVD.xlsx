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Farhan\Working\Pricing\Clients\Azam\2026\10 Oct\10-09-2026\1\"/>
    </mc:Choice>
  </mc:AlternateContent>
  <xr:revisionPtr revIDLastSave="0" documentId="13_ncr:1_{DC98FB60-A69B-49CE-9477-2C95A061B6B9}" xr6:coauthVersionLast="47" xr6:coauthVersionMax="47" xr10:uidLastSave="{00000000-0000-0000-0000-000000000000}"/>
  <bookViews>
    <workbookView xWindow="28680" yWindow="-120" windowWidth="29040" windowHeight="16440" tabRatio="512" activeTab="1" xr2:uid="{00000000-000D-0000-FFFF-FFFF00000000}"/>
  </bookViews>
  <sheets>
    <sheet name="GENERAL SUMMARY" sheetId="3" r:id="rId1"/>
    <sheet name="DETAILED ESTIMATE" sheetId="1" r:id="rId2"/>
  </sheets>
  <definedNames>
    <definedName name="_xlnm._FilterDatabase" localSheetId="1" hidden="1">'DETAILED ESTIMATE'!$E$1:$E$1260</definedName>
    <definedName name="_xlnm.Print_Area" localSheetId="1">'DETAILED ESTIMATE'!$B$2:$R$1260</definedName>
    <definedName name="_xlnm.Print_Area" localSheetId="0">'GENERAL SUMMARY'!$B$2:$H$39</definedName>
    <definedName name="_xlnm.Print_Titles" localSheetId="1">'DETAILED ESTIMATE'!$2:$18</definedName>
    <definedName name="_xlnm.Print_Titles" localSheetId="0">'GENERAL SUMMARY'!$2:$13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09" i="1" l="1"/>
  <c r="K209" i="1"/>
  <c r="H209" i="1"/>
  <c r="I209" i="1" s="1"/>
  <c r="N203" i="1"/>
  <c r="K203" i="1"/>
  <c r="H203" i="1"/>
  <c r="I203" i="1" s="1"/>
  <c r="N202" i="1"/>
  <c r="O202" i="1" s="1"/>
  <c r="K202" i="1"/>
  <c r="H202" i="1"/>
  <c r="I202" i="1" s="1"/>
  <c r="K251" i="1"/>
  <c r="H251" i="1"/>
  <c r="I251" i="1" s="1"/>
  <c r="K1248" i="1"/>
  <c r="H1248" i="1"/>
  <c r="I1248" i="1" s="1"/>
  <c r="N1237" i="1"/>
  <c r="K1237" i="1"/>
  <c r="N1238" i="1"/>
  <c r="K1238" i="1"/>
  <c r="N1241" i="1"/>
  <c r="K1241" i="1"/>
  <c r="K1244" i="1"/>
  <c r="H1244" i="1"/>
  <c r="I1244" i="1" s="1"/>
  <c r="K1234" i="1"/>
  <c r="H1234" i="1"/>
  <c r="I1234" i="1" s="1"/>
  <c r="K1228" i="1"/>
  <c r="H1228" i="1"/>
  <c r="I1228" i="1" s="1"/>
  <c r="K1227" i="1"/>
  <c r="H1227" i="1"/>
  <c r="I1227" i="1" s="1"/>
  <c r="K1229" i="1"/>
  <c r="H1229" i="1"/>
  <c r="I1229" i="1" s="1"/>
  <c r="K1226" i="1"/>
  <c r="H1226" i="1"/>
  <c r="I1226" i="1" s="1"/>
  <c r="K1225" i="1"/>
  <c r="H1225" i="1"/>
  <c r="I1225" i="1" s="1"/>
  <c r="K1224" i="1"/>
  <c r="H1224" i="1"/>
  <c r="I1224" i="1" s="1"/>
  <c r="N1205" i="1"/>
  <c r="K1205" i="1"/>
  <c r="H1205" i="1"/>
  <c r="I1205" i="1" s="1"/>
  <c r="K1202" i="1"/>
  <c r="H1202" i="1"/>
  <c r="I1202" i="1" s="1"/>
  <c r="K1196" i="1"/>
  <c r="H1196" i="1"/>
  <c r="I1196" i="1" s="1"/>
  <c r="K1187" i="1"/>
  <c r="H1187" i="1"/>
  <c r="I1187" i="1" s="1"/>
  <c r="N1188" i="1"/>
  <c r="O1188" i="1" s="1"/>
  <c r="K1188" i="1"/>
  <c r="G1188" i="1"/>
  <c r="H1188" i="1" s="1"/>
  <c r="I1188" i="1" s="1"/>
  <c r="K1179" i="1"/>
  <c r="K1184" i="1"/>
  <c r="K1183" i="1"/>
  <c r="K1180" i="1"/>
  <c r="N1171" i="1"/>
  <c r="K1171" i="1"/>
  <c r="H1171" i="1"/>
  <c r="I1171" i="1" s="1"/>
  <c r="K1174" i="1"/>
  <c r="G1174" i="1"/>
  <c r="H1174" i="1" s="1"/>
  <c r="I1174" i="1" s="1"/>
  <c r="N1164" i="1"/>
  <c r="K1164" i="1"/>
  <c r="H1164" i="1"/>
  <c r="I1164" i="1" s="1"/>
  <c r="N1163" i="1"/>
  <c r="K1163" i="1"/>
  <c r="H1163" i="1"/>
  <c r="I1163" i="1" s="1"/>
  <c r="N1162" i="1"/>
  <c r="K1162" i="1"/>
  <c r="H1162" i="1"/>
  <c r="I1162" i="1" s="1"/>
  <c r="N1156" i="1"/>
  <c r="K1156" i="1"/>
  <c r="H1156" i="1"/>
  <c r="I1156" i="1" s="1"/>
  <c r="K1134" i="1"/>
  <c r="H1134" i="1"/>
  <c r="I1134" i="1" s="1"/>
  <c r="K1124" i="1"/>
  <c r="H1124" i="1"/>
  <c r="I1124" i="1" s="1"/>
  <c r="K1125" i="1"/>
  <c r="H1125" i="1"/>
  <c r="I1125" i="1" s="1"/>
  <c r="K1126" i="1"/>
  <c r="H1126" i="1"/>
  <c r="I1126" i="1" s="1"/>
  <c r="K1113" i="1"/>
  <c r="H1110" i="1"/>
  <c r="K1107" i="1"/>
  <c r="H1107" i="1"/>
  <c r="I1107" i="1" s="1"/>
  <c r="K1104" i="1"/>
  <c r="H1104" i="1"/>
  <c r="I1104" i="1" s="1"/>
  <c r="H1101" i="1"/>
  <c r="H1100" i="1"/>
  <c r="H1099" i="1"/>
  <c r="K1090" i="1"/>
  <c r="H1090" i="1"/>
  <c r="I1090" i="1" s="1"/>
  <c r="H1079" i="1"/>
  <c r="K1078" i="1"/>
  <c r="H1078" i="1"/>
  <c r="I1078" i="1" s="1"/>
  <c r="K1066" i="1"/>
  <c r="K1065" i="1"/>
  <c r="K1064" i="1"/>
  <c r="H1257" i="1"/>
  <c r="H1256" i="1"/>
  <c r="H1255" i="1"/>
  <c r="N1219" i="1"/>
  <c r="O1219" i="1" s="1"/>
  <c r="H1219" i="1"/>
  <c r="N1218" i="1"/>
  <c r="O1218" i="1" s="1"/>
  <c r="H1218" i="1"/>
  <c r="N1217" i="1"/>
  <c r="O1217" i="1" s="1"/>
  <c r="H1217" i="1"/>
  <c r="N1208" i="1"/>
  <c r="O1208" i="1" s="1"/>
  <c r="H1208" i="1"/>
  <c r="N1207" i="1"/>
  <c r="O1207" i="1" s="1"/>
  <c r="H1207" i="1"/>
  <c r="N1206" i="1"/>
  <c r="O1206" i="1" s="1"/>
  <c r="H1206" i="1"/>
  <c r="N1117" i="1"/>
  <c r="O1117" i="1" s="1"/>
  <c r="H1117" i="1"/>
  <c r="N1116" i="1"/>
  <c r="O1116" i="1" s="1"/>
  <c r="H1116" i="1"/>
  <c r="N1115" i="1"/>
  <c r="O1115" i="1" s="1"/>
  <c r="H1115" i="1"/>
  <c r="H1095" i="1"/>
  <c r="N1096" i="1"/>
  <c r="H1096" i="1"/>
  <c r="N1094" i="1"/>
  <c r="H1094" i="1"/>
  <c r="N1085" i="1"/>
  <c r="O1085" i="1" s="1"/>
  <c r="H1085" i="1"/>
  <c r="N1084" i="1"/>
  <c r="O1084" i="1" s="1"/>
  <c r="H1084" i="1"/>
  <c r="N1083" i="1"/>
  <c r="O1083" i="1" s="1"/>
  <c r="H1083" i="1"/>
  <c r="N1075" i="1"/>
  <c r="O1075" i="1" s="1"/>
  <c r="H1075" i="1"/>
  <c r="N1074" i="1"/>
  <c r="O1074" i="1" s="1"/>
  <c r="H1074" i="1"/>
  <c r="N1073" i="1"/>
  <c r="O1073" i="1" s="1"/>
  <c r="H1073" i="1"/>
  <c r="H1069" i="1"/>
  <c r="N1071" i="1"/>
  <c r="O1071" i="1" s="1"/>
  <c r="H1071" i="1"/>
  <c r="N1070" i="1"/>
  <c r="O1070" i="1" s="1"/>
  <c r="H1070" i="1"/>
  <c r="K1061" i="1"/>
  <c r="H1061" i="1"/>
  <c r="I1061" i="1" s="1"/>
  <c r="K1059" i="1"/>
  <c r="H1059" i="1"/>
  <c r="I1059" i="1" s="1"/>
  <c r="H1060" i="1"/>
  <c r="I1060" i="1" s="1"/>
  <c r="K1060" i="1"/>
  <c r="K1058" i="1"/>
  <c r="H1058" i="1"/>
  <c r="I1058" i="1" s="1"/>
  <c r="K1057" i="1"/>
  <c r="H1057" i="1"/>
  <c r="I1057" i="1" s="1"/>
  <c r="K1056" i="1"/>
  <c r="H1056" i="1"/>
  <c r="I1056" i="1" s="1"/>
  <c r="K1052" i="1"/>
  <c r="K1051" i="1"/>
  <c r="H1052" i="1"/>
  <c r="I1052" i="1" s="1"/>
  <c r="H1051" i="1"/>
  <c r="I1051" i="1" s="1"/>
  <c r="K1048" i="1"/>
  <c r="H1048" i="1"/>
  <c r="I1048" i="1" s="1"/>
  <c r="K1045" i="1"/>
  <c r="H1045" i="1"/>
  <c r="I1045" i="1" s="1"/>
  <c r="K1041" i="1"/>
  <c r="H1041" i="1"/>
  <c r="I1041" i="1" s="1"/>
  <c r="K1038" i="1"/>
  <c r="H1038" i="1"/>
  <c r="I1038" i="1" s="1"/>
  <c r="K1037" i="1"/>
  <c r="H1037" i="1"/>
  <c r="I1037" i="1" s="1"/>
  <c r="K1036" i="1"/>
  <c r="H1036" i="1"/>
  <c r="I1036" i="1" s="1"/>
  <c r="K1031" i="1"/>
  <c r="H1031" i="1"/>
  <c r="I1031" i="1" s="1"/>
  <c r="H1028" i="1"/>
  <c r="K1025" i="1"/>
  <c r="H1025" i="1"/>
  <c r="I1025" i="1" s="1"/>
  <c r="K1006" i="1"/>
  <c r="H1006" i="1"/>
  <c r="I1006" i="1" s="1"/>
  <c r="K1016" i="1"/>
  <c r="H1016" i="1"/>
  <c r="I1016" i="1" s="1"/>
  <c r="K1020" i="1"/>
  <c r="H1020" i="1"/>
  <c r="I1020" i="1" s="1"/>
  <c r="K1019" i="1"/>
  <c r="H1019" i="1"/>
  <c r="I1019" i="1" s="1"/>
  <c r="K856" i="1"/>
  <c r="H856" i="1"/>
  <c r="I856" i="1" s="1"/>
  <c r="K993" i="1"/>
  <c r="H993" i="1"/>
  <c r="I993" i="1" s="1"/>
  <c r="K989" i="1"/>
  <c r="H989" i="1"/>
  <c r="I989" i="1" s="1"/>
  <c r="K988" i="1"/>
  <c r="H988" i="1"/>
  <c r="I988" i="1" s="1"/>
  <c r="K987" i="1"/>
  <c r="H987" i="1"/>
  <c r="I987" i="1" s="1"/>
  <c r="K986" i="1"/>
  <c r="H986" i="1"/>
  <c r="I986" i="1" s="1"/>
  <c r="K978" i="1"/>
  <c r="H978" i="1"/>
  <c r="I978" i="1" s="1"/>
  <c r="K975" i="1"/>
  <c r="H975" i="1"/>
  <c r="I975" i="1" s="1"/>
  <c r="J968" i="1"/>
  <c r="K968" i="1" s="1"/>
  <c r="J967" i="1"/>
  <c r="K967" i="1" s="1"/>
  <c r="G968" i="1"/>
  <c r="H968" i="1" s="1"/>
  <c r="I968" i="1" s="1"/>
  <c r="G967" i="1"/>
  <c r="H967" i="1" s="1"/>
  <c r="I967" i="1" s="1"/>
  <c r="K955" i="1"/>
  <c r="H955" i="1"/>
  <c r="I955" i="1" s="1"/>
  <c r="K937" i="1"/>
  <c r="H937" i="1"/>
  <c r="I937" i="1" s="1"/>
  <c r="K938" i="1"/>
  <c r="H938" i="1"/>
  <c r="I938" i="1" s="1"/>
  <c r="K934" i="1"/>
  <c r="H934" i="1"/>
  <c r="I934" i="1" s="1"/>
  <c r="K933" i="1"/>
  <c r="H933" i="1"/>
  <c r="I933" i="1" s="1"/>
  <c r="K932" i="1"/>
  <c r="H932" i="1"/>
  <c r="I932" i="1" s="1"/>
  <c r="K931" i="1"/>
  <c r="H931" i="1"/>
  <c r="I931" i="1" s="1"/>
  <c r="K930" i="1"/>
  <c r="H930" i="1"/>
  <c r="I930" i="1" s="1"/>
  <c r="K927" i="1"/>
  <c r="H927" i="1"/>
  <c r="I927" i="1" s="1"/>
  <c r="K926" i="1"/>
  <c r="H926" i="1"/>
  <c r="I926" i="1" s="1"/>
  <c r="K925" i="1"/>
  <c r="H925" i="1"/>
  <c r="I925" i="1" s="1"/>
  <c r="K906" i="1"/>
  <c r="H906" i="1"/>
  <c r="I906" i="1" s="1"/>
  <c r="K917" i="1"/>
  <c r="H917" i="1"/>
  <c r="I917" i="1" s="1"/>
  <c r="K916" i="1"/>
  <c r="H916" i="1"/>
  <c r="I916" i="1" s="1"/>
  <c r="K915" i="1"/>
  <c r="H915" i="1"/>
  <c r="I915" i="1" s="1"/>
  <c r="K912" i="1"/>
  <c r="H912" i="1"/>
  <c r="I912" i="1" s="1"/>
  <c r="K911" i="1"/>
  <c r="H911" i="1"/>
  <c r="I911" i="1" s="1"/>
  <c r="K910" i="1"/>
  <c r="H910" i="1"/>
  <c r="I910" i="1" s="1"/>
  <c r="K907" i="1"/>
  <c r="H907" i="1"/>
  <c r="I907" i="1" s="1"/>
  <c r="K905" i="1"/>
  <c r="H905" i="1"/>
  <c r="I905" i="1" s="1"/>
  <c r="N902" i="1"/>
  <c r="K902" i="1"/>
  <c r="H902" i="1"/>
  <c r="I902" i="1" s="1"/>
  <c r="N901" i="1"/>
  <c r="O901" i="1" s="1"/>
  <c r="P901" i="1" s="1"/>
  <c r="K901" i="1"/>
  <c r="H901" i="1"/>
  <c r="I901" i="1" s="1"/>
  <c r="N900" i="1"/>
  <c r="O900" i="1" s="1"/>
  <c r="P900" i="1" s="1"/>
  <c r="K900" i="1"/>
  <c r="H900" i="1"/>
  <c r="I900" i="1" s="1"/>
  <c r="N899" i="1"/>
  <c r="O899" i="1" s="1"/>
  <c r="P899" i="1" s="1"/>
  <c r="K899" i="1"/>
  <c r="H899" i="1"/>
  <c r="I899" i="1" s="1"/>
  <c r="K898" i="1"/>
  <c r="H898" i="1"/>
  <c r="I898" i="1" s="1"/>
  <c r="N897" i="1"/>
  <c r="K897" i="1"/>
  <c r="H897" i="1"/>
  <c r="I897" i="1" s="1"/>
  <c r="K896" i="1"/>
  <c r="H896" i="1"/>
  <c r="I896" i="1" s="1"/>
  <c r="N895" i="1"/>
  <c r="K895" i="1"/>
  <c r="H895" i="1"/>
  <c r="I895" i="1" s="1"/>
  <c r="K894" i="1"/>
  <c r="H894" i="1"/>
  <c r="I894" i="1" s="1"/>
  <c r="K893" i="1"/>
  <c r="H893" i="1"/>
  <c r="I893" i="1" s="1"/>
  <c r="K892" i="1"/>
  <c r="H892" i="1"/>
  <c r="I892" i="1" s="1"/>
  <c r="N891" i="1"/>
  <c r="K891" i="1"/>
  <c r="H891" i="1"/>
  <c r="I891" i="1" s="1"/>
  <c r="K890" i="1"/>
  <c r="H890" i="1"/>
  <c r="I890" i="1" s="1"/>
  <c r="K889" i="1"/>
  <c r="H889" i="1"/>
  <c r="I889" i="1" s="1"/>
  <c r="K888" i="1"/>
  <c r="H888" i="1"/>
  <c r="I888" i="1" s="1"/>
  <c r="K887" i="1"/>
  <c r="H887" i="1"/>
  <c r="I887" i="1" s="1"/>
  <c r="K886" i="1"/>
  <c r="H886" i="1"/>
  <c r="I886" i="1" s="1"/>
  <c r="K885" i="1"/>
  <c r="H885" i="1"/>
  <c r="I885" i="1" s="1"/>
  <c r="K884" i="1"/>
  <c r="H884" i="1"/>
  <c r="I884" i="1" s="1"/>
  <c r="K860" i="1"/>
  <c r="K861" i="1"/>
  <c r="K862" i="1"/>
  <c r="K863" i="1"/>
  <c r="K864" i="1"/>
  <c r="K865" i="1"/>
  <c r="K866" i="1"/>
  <c r="K867" i="1"/>
  <c r="K868" i="1"/>
  <c r="K869" i="1"/>
  <c r="K870" i="1"/>
  <c r="K871" i="1"/>
  <c r="K872" i="1"/>
  <c r="K873" i="1"/>
  <c r="K874" i="1"/>
  <c r="K875" i="1"/>
  <c r="K876" i="1"/>
  <c r="K877" i="1"/>
  <c r="K878" i="1"/>
  <c r="K879" i="1"/>
  <c r="K880" i="1"/>
  <c r="K881" i="1"/>
  <c r="G874" i="1"/>
  <c r="G869" i="1"/>
  <c r="G867" i="1"/>
  <c r="G860" i="1"/>
  <c r="J850" i="1"/>
  <c r="G850" i="1"/>
  <c r="J849" i="1"/>
  <c r="K849" i="1" s="1"/>
  <c r="G849" i="1"/>
  <c r="J847" i="1"/>
  <c r="K847" i="1" s="1"/>
  <c r="G847" i="1"/>
  <c r="H847" i="1" s="1"/>
  <c r="I847" i="1" s="1"/>
  <c r="H846" i="1"/>
  <c r="I846" i="1" s="1"/>
  <c r="K846" i="1"/>
  <c r="N846" i="1"/>
  <c r="H849" i="1"/>
  <c r="I849" i="1" s="1"/>
  <c r="H848" i="1"/>
  <c r="K843" i="1"/>
  <c r="H843" i="1"/>
  <c r="I843" i="1" s="1"/>
  <c r="K842" i="1"/>
  <c r="H842" i="1"/>
  <c r="I842" i="1" s="1"/>
  <c r="K839" i="1"/>
  <c r="H839" i="1"/>
  <c r="I839" i="1" s="1"/>
  <c r="K833" i="1"/>
  <c r="H833" i="1"/>
  <c r="I833" i="1" s="1"/>
  <c r="K832" i="1"/>
  <c r="H832" i="1"/>
  <c r="I832" i="1" s="1"/>
  <c r="K836" i="1"/>
  <c r="H836" i="1"/>
  <c r="I836" i="1" s="1"/>
  <c r="K828" i="1"/>
  <c r="K827" i="1"/>
  <c r="K814" i="1"/>
  <c r="H814" i="1"/>
  <c r="I814" i="1" s="1"/>
  <c r="K813" i="1"/>
  <c r="H813" i="1"/>
  <c r="I813" i="1" s="1"/>
  <c r="K815" i="1"/>
  <c r="H815" i="1"/>
  <c r="I815" i="1" s="1"/>
  <c r="H816" i="1"/>
  <c r="I816" i="1" s="1"/>
  <c r="K816" i="1"/>
  <c r="K807" i="1"/>
  <c r="H807" i="1"/>
  <c r="I807" i="1" s="1"/>
  <c r="N795" i="1"/>
  <c r="O795" i="1" s="1"/>
  <c r="K795" i="1"/>
  <c r="G795" i="1"/>
  <c r="K792" i="1"/>
  <c r="K791" i="1"/>
  <c r="K757" i="1"/>
  <c r="H757" i="1"/>
  <c r="I757" i="1" s="1"/>
  <c r="K782" i="1"/>
  <c r="H782" i="1"/>
  <c r="I782" i="1" s="1"/>
  <c r="K781" i="1"/>
  <c r="H781" i="1"/>
  <c r="I781" i="1" s="1"/>
  <c r="K780" i="1"/>
  <c r="H780" i="1"/>
  <c r="I780" i="1" s="1"/>
  <c r="K779" i="1"/>
  <c r="H779" i="1"/>
  <c r="I779" i="1" s="1"/>
  <c r="K778" i="1"/>
  <c r="H778" i="1"/>
  <c r="I778" i="1" s="1"/>
  <c r="K777" i="1"/>
  <c r="H777" i="1"/>
  <c r="I777" i="1" s="1"/>
  <c r="K775" i="1"/>
  <c r="H775" i="1"/>
  <c r="I775" i="1" s="1"/>
  <c r="K774" i="1"/>
  <c r="H774" i="1"/>
  <c r="I774" i="1" s="1"/>
  <c r="K773" i="1"/>
  <c r="H773" i="1"/>
  <c r="I773" i="1" s="1"/>
  <c r="K772" i="1"/>
  <c r="H772" i="1"/>
  <c r="I772" i="1" s="1"/>
  <c r="K771" i="1"/>
  <c r="H771" i="1"/>
  <c r="I771" i="1" s="1"/>
  <c r="K770" i="1"/>
  <c r="H770" i="1"/>
  <c r="I770" i="1" s="1"/>
  <c r="K752" i="1"/>
  <c r="H752" i="1"/>
  <c r="I752" i="1" s="1"/>
  <c r="K754" i="1"/>
  <c r="H754" i="1"/>
  <c r="I754" i="1" s="1"/>
  <c r="K753" i="1"/>
  <c r="H753" i="1"/>
  <c r="I753" i="1" s="1"/>
  <c r="K751" i="1"/>
  <c r="H751" i="1"/>
  <c r="I751" i="1" s="1"/>
  <c r="K748" i="1"/>
  <c r="H748" i="1"/>
  <c r="I748" i="1" s="1"/>
  <c r="K745" i="1"/>
  <c r="H745" i="1"/>
  <c r="I745" i="1" s="1"/>
  <c r="G719" i="1"/>
  <c r="K715" i="1"/>
  <c r="N715" i="1"/>
  <c r="K703" i="1"/>
  <c r="K702" i="1"/>
  <c r="K701" i="1"/>
  <c r="K700" i="1"/>
  <c r="K699" i="1"/>
  <c r="K698" i="1"/>
  <c r="K697" i="1"/>
  <c r="K696" i="1"/>
  <c r="G703" i="1"/>
  <c r="G702" i="1"/>
  <c r="G701" i="1"/>
  <c r="G700" i="1"/>
  <c r="G699" i="1"/>
  <c r="K693" i="1"/>
  <c r="H693" i="1"/>
  <c r="I693" i="1" s="1"/>
  <c r="K692" i="1"/>
  <c r="H692" i="1"/>
  <c r="I692" i="1" s="1"/>
  <c r="K691" i="1"/>
  <c r="H691" i="1"/>
  <c r="I691" i="1" s="1"/>
  <c r="N687" i="1"/>
  <c r="K687" i="1"/>
  <c r="H687" i="1"/>
  <c r="I687" i="1" s="1"/>
  <c r="K683" i="1"/>
  <c r="H683" i="1"/>
  <c r="I683" i="1" s="1"/>
  <c r="K682" i="1"/>
  <c r="H682" i="1"/>
  <c r="I682" i="1" s="1"/>
  <c r="K681" i="1"/>
  <c r="H681" i="1"/>
  <c r="I681" i="1" s="1"/>
  <c r="K680" i="1"/>
  <c r="H680" i="1"/>
  <c r="I680" i="1" s="1"/>
  <c r="K679" i="1"/>
  <c r="H679" i="1"/>
  <c r="I679" i="1" s="1"/>
  <c r="K675" i="1"/>
  <c r="H675" i="1"/>
  <c r="I675" i="1" s="1"/>
  <c r="K674" i="1"/>
  <c r="H674" i="1"/>
  <c r="I674" i="1" s="1"/>
  <c r="K673" i="1"/>
  <c r="H673" i="1"/>
  <c r="I673" i="1" s="1"/>
  <c r="K672" i="1"/>
  <c r="H672" i="1"/>
  <c r="I672" i="1" s="1"/>
  <c r="N671" i="1"/>
  <c r="O671" i="1" s="1"/>
  <c r="K671" i="1"/>
  <c r="H671" i="1"/>
  <c r="I671" i="1" s="1"/>
  <c r="K670" i="1"/>
  <c r="H670" i="1"/>
  <c r="I670" i="1" s="1"/>
  <c r="K669" i="1"/>
  <c r="H669" i="1"/>
  <c r="I669" i="1" s="1"/>
  <c r="K668" i="1"/>
  <c r="H668" i="1"/>
  <c r="I668" i="1" s="1"/>
  <c r="N658" i="1"/>
  <c r="O658" i="1" s="1"/>
  <c r="P658" i="1" s="1"/>
  <c r="K658" i="1"/>
  <c r="H658" i="1"/>
  <c r="I658" i="1" s="1"/>
  <c r="N657" i="1"/>
  <c r="O657" i="1" s="1"/>
  <c r="P657" i="1" s="1"/>
  <c r="K657" i="1"/>
  <c r="H657" i="1"/>
  <c r="I657" i="1" s="1"/>
  <c r="N656" i="1"/>
  <c r="O656" i="1" s="1"/>
  <c r="P656" i="1" s="1"/>
  <c r="K656" i="1"/>
  <c r="H656" i="1"/>
  <c r="I656" i="1" s="1"/>
  <c r="N655" i="1"/>
  <c r="O655" i="1" s="1"/>
  <c r="P655" i="1" s="1"/>
  <c r="K655" i="1"/>
  <c r="H655" i="1"/>
  <c r="I655" i="1" s="1"/>
  <c r="N654" i="1"/>
  <c r="O654" i="1" s="1"/>
  <c r="P654" i="1" s="1"/>
  <c r="K654" i="1"/>
  <c r="H654" i="1"/>
  <c r="I654" i="1" s="1"/>
  <c r="N653" i="1"/>
  <c r="O653" i="1" s="1"/>
  <c r="P653" i="1" s="1"/>
  <c r="K653" i="1"/>
  <c r="H653" i="1"/>
  <c r="I653" i="1" s="1"/>
  <c r="N652" i="1"/>
  <c r="O652" i="1" s="1"/>
  <c r="P652" i="1" s="1"/>
  <c r="K652" i="1"/>
  <c r="H652" i="1"/>
  <c r="I652" i="1" s="1"/>
  <c r="N651" i="1"/>
  <c r="O651" i="1" s="1"/>
  <c r="P651" i="1" s="1"/>
  <c r="K651" i="1"/>
  <c r="H651" i="1"/>
  <c r="I651" i="1" s="1"/>
  <c r="N650" i="1"/>
  <c r="O650" i="1" s="1"/>
  <c r="P650" i="1" s="1"/>
  <c r="K650" i="1"/>
  <c r="H650" i="1"/>
  <c r="I650" i="1" s="1"/>
  <c r="N649" i="1"/>
  <c r="O649" i="1" s="1"/>
  <c r="P649" i="1" s="1"/>
  <c r="K649" i="1"/>
  <c r="H649" i="1"/>
  <c r="I649" i="1" s="1"/>
  <c r="N648" i="1"/>
  <c r="O648" i="1" s="1"/>
  <c r="P648" i="1" s="1"/>
  <c r="K648" i="1"/>
  <c r="H648" i="1"/>
  <c r="I648" i="1" s="1"/>
  <c r="N647" i="1"/>
  <c r="O647" i="1" s="1"/>
  <c r="P647" i="1" s="1"/>
  <c r="K647" i="1"/>
  <c r="H647" i="1"/>
  <c r="I647" i="1" s="1"/>
  <c r="N646" i="1"/>
  <c r="O646" i="1" s="1"/>
  <c r="P646" i="1" s="1"/>
  <c r="K646" i="1"/>
  <c r="H646" i="1"/>
  <c r="I646" i="1" s="1"/>
  <c r="N645" i="1"/>
  <c r="O645" i="1" s="1"/>
  <c r="P645" i="1" s="1"/>
  <c r="K645" i="1"/>
  <c r="H645" i="1"/>
  <c r="I645" i="1" s="1"/>
  <c r="N644" i="1"/>
  <c r="O644" i="1" s="1"/>
  <c r="P644" i="1" s="1"/>
  <c r="K644" i="1"/>
  <c r="H644" i="1"/>
  <c r="I644" i="1" s="1"/>
  <c r="N643" i="1"/>
  <c r="O643" i="1" s="1"/>
  <c r="P643" i="1" s="1"/>
  <c r="K643" i="1"/>
  <c r="H643" i="1"/>
  <c r="I643" i="1" s="1"/>
  <c r="N642" i="1"/>
  <c r="O642" i="1" s="1"/>
  <c r="P642" i="1" s="1"/>
  <c r="K642" i="1"/>
  <c r="H642" i="1"/>
  <c r="I642" i="1" s="1"/>
  <c r="N641" i="1"/>
  <c r="O641" i="1" s="1"/>
  <c r="P641" i="1" s="1"/>
  <c r="K641" i="1"/>
  <c r="H641" i="1"/>
  <c r="I641" i="1" s="1"/>
  <c r="N640" i="1"/>
  <c r="O640" i="1" s="1"/>
  <c r="P640" i="1" s="1"/>
  <c r="K640" i="1"/>
  <c r="H640" i="1"/>
  <c r="I640" i="1" s="1"/>
  <c r="N639" i="1"/>
  <c r="O639" i="1" s="1"/>
  <c r="P639" i="1" s="1"/>
  <c r="K639" i="1"/>
  <c r="H639" i="1"/>
  <c r="I639" i="1" s="1"/>
  <c r="N638" i="1"/>
  <c r="O638" i="1" s="1"/>
  <c r="P638" i="1" s="1"/>
  <c r="K638" i="1"/>
  <c r="H638" i="1"/>
  <c r="I638" i="1" s="1"/>
  <c r="N637" i="1"/>
  <c r="O637" i="1" s="1"/>
  <c r="P637" i="1" s="1"/>
  <c r="K637" i="1"/>
  <c r="H637" i="1"/>
  <c r="I637" i="1" s="1"/>
  <c r="N636" i="1"/>
  <c r="O636" i="1" s="1"/>
  <c r="P636" i="1" s="1"/>
  <c r="K636" i="1"/>
  <c r="H636" i="1"/>
  <c r="I636" i="1" s="1"/>
  <c r="N635" i="1"/>
  <c r="O635" i="1" s="1"/>
  <c r="P635" i="1" s="1"/>
  <c r="K635" i="1"/>
  <c r="H635" i="1"/>
  <c r="I635" i="1" s="1"/>
  <c r="N634" i="1"/>
  <c r="O634" i="1" s="1"/>
  <c r="P634" i="1" s="1"/>
  <c r="K634" i="1"/>
  <c r="H634" i="1"/>
  <c r="I634" i="1" s="1"/>
  <c r="N633" i="1"/>
  <c r="O633" i="1" s="1"/>
  <c r="P633" i="1" s="1"/>
  <c r="K633" i="1"/>
  <c r="H633" i="1"/>
  <c r="I633" i="1" s="1"/>
  <c r="N632" i="1"/>
  <c r="O632" i="1" s="1"/>
  <c r="P632" i="1" s="1"/>
  <c r="K632" i="1"/>
  <c r="H632" i="1"/>
  <c r="I632" i="1" s="1"/>
  <c r="N631" i="1"/>
  <c r="O631" i="1" s="1"/>
  <c r="P631" i="1" s="1"/>
  <c r="K631" i="1"/>
  <c r="H631" i="1"/>
  <c r="I631" i="1" s="1"/>
  <c r="N630" i="1"/>
  <c r="O630" i="1" s="1"/>
  <c r="P630" i="1" s="1"/>
  <c r="K630" i="1"/>
  <c r="H630" i="1"/>
  <c r="I630" i="1" s="1"/>
  <c r="N629" i="1"/>
  <c r="O629" i="1" s="1"/>
  <c r="P629" i="1" s="1"/>
  <c r="K629" i="1"/>
  <c r="H629" i="1"/>
  <c r="I629" i="1" s="1"/>
  <c r="N628" i="1"/>
  <c r="O628" i="1" s="1"/>
  <c r="P628" i="1" s="1"/>
  <c r="K628" i="1"/>
  <c r="H628" i="1"/>
  <c r="I628" i="1" s="1"/>
  <c r="N627" i="1"/>
  <c r="O627" i="1" s="1"/>
  <c r="P627" i="1" s="1"/>
  <c r="K627" i="1"/>
  <c r="H627" i="1"/>
  <c r="I627" i="1" s="1"/>
  <c r="N626" i="1"/>
  <c r="O626" i="1" s="1"/>
  <c r="P626" i="1" s="1"/>
  <c r="K626" i="1"/>
  <c r="H626" i="1"/>
  <c r="I626" i="1" s="1"/>
  <c r="N625" i="1"/>
  <c r="O625" i="1" s="1"/>
  <c r="P625" i="1" s="1"/>
  <c r="K625" i="1"/>
  <c r="H625" i="1"/>
  <c r="I625" i="1" s="1"/>
  <c r="N624" i="1"/>
  <c r="O624" i="1" s="1"/>
  <c r="P624" i="1" s="1"/>
  <c r="K624" i="1"/>
  <c r="H624" i="1"/>
  <c r="I624" i="1" s="1"/>
  <c r="N623" i="1"/>
  <c r="O623" i="1" s="1"/>
  <c r="P623" i="1" s="1"/>
  <c r="K623" i="1"/>
  <c r="H623" i="1"/>
  <c r="I623" i="1" s="1"/>
  <c r="N622" i="1"/>
  <c r="O622" i="1" s="1"/>
  <c r="P622" i="1" s="1"/>
  <c r="K622" i="1"/>
  <c r="H622" i="1"/>
  <c r="I622" i="1" s="1"/>
  <c r="N621" i="1"/>
  <c r="O621" i="1" s="1"/>
  <c r="P621" i="1" s="1"/>
  <c r="K621" i="1"/>
  <c r="H621" i="1"/>
  <c r="I621" i="1" s="1"/>
  <c r="N620" i="1"/>
  <c r="O620" i="1" s="1"/>
  <c r="P620" i="1" s="1"/>
  <c r="K620" i="1"/>
  <c r="H620" i="1"/>
  <c r="I620" i="1" s="1"/>
  <c r="N584" i="1"/>
  <c r="K584" i="1"/>
  <c r="N582" i="1"/>
  <c r="K582" i="1"/>
  <c r="K581" i="1"/>
  <c r="K578" i="1"/>
  <c r="K580" i="1"/>
  <c r="K570" i="1"/>
  <c r="H570" i="1"/>
  <c r="I570" i="1" s="1"/>
  <c r="N561" i="1"/>
  <c r="K561" i="1"/>
  <c r="N560" i="1"/>
  <c r="K560" i="1"/>
  <c r="K559" i="1"/>
  <c r="K556" i="1"/>
  <c r="K555" i="1"/>
  <c r="H555" i="1"/>
  <c r="I555" i="1" s="1"/>
  <c r="K554" i="1"/>
  <c r="K553" i="1"/>
  <c r="K551" i="1"/>
  <c r="K550" i="1"/>
  <c r="K422" i="1"/>
  <c r="N422" i="1"/>
  <c r="O422" i="1" s="1"/>
  <c r="K423" i="1"/>
  <c r="N423" i="1"/>
  <c r="O423" i="1" s="1"/>
  <c r="K424" i="1"/>
  <c r="N424" i="1"/>
  <c r="O424" i="1" s="1"/>
  <c r="N421" i="1"/>
  <c r="O421" i="1" s="1"/>
  <c r="K421" i="1"/>
  <c r="H426" i="1"/>
  <c r="H425" i="1"/>
  <c r="G418" i="1"/>
  <c r="H418" i="1" s="1"/>
  <c r="I418" i="1" s="1"/>
  <c r="K418" i="1"/>
  <c r="N418" i="1"/>
  <c r="G417" i="1"/>
  <c r="H417" i="1" s="1"/>
  <c r="I417" i="1" s="1"/>
  <c r="K417" i="1"/>
  <c r="N417" i="1"/>
  <c r="O417" i="1" s="1"/>
  <c r="G416" i="1"/>
  <c r="G415" i="1"/>
  <c r="G414" i="1"/>
  <c r="G413" i="1"/>
  <c r="K410" i="1"/>
  <c r="K409" i="1"/>
  <c r="N402" i="1"/>
  <c r="O402" i="1" s="1"/>
  <c r="P402" i="1" s="1"/>
  <c r="K402" i="1"/>
  <c r="H400" i="1"/>
  <c r="I400" i="1" s="1"/>
  <c r="K401" i="1"/>
  <c r="H401" i="1"/>
  <c r="I401" i="1" s="1"/>
  <c r="K400" i="1"/>
  <c r="K399" i="1"/>
  <c r="H399" i="1"/>
  <c r="I399" i="1" s="1"/>
  <c r="N399" i="1"/>
  <c r="O399" i="1" s="1"/>
  <c r="M398" i="1"/>
  <c r="L398" i="1"/>
  <c r="M397" i="1"/>
  <c r="L397" i="1"/>
  <c r="J398" i="1"/>
  <c r="J397" i="1"/>
  <c r="K396" i="1"/>
  <c r="G398" i="1"/>
  <c r="G397" i="1"/>
  <c r="K395" i="1"/>
  <c r="H395" i="1"/>
  <c r="I395" i="1" s="1"/>
  <c r="G492" i="1"/>
  <c r="G493" i="1"/>
  <c r="K518" i="1"/>
  <c r="H518" i="1"/>
  <c r="I518" i="1" s="1"/>
  <c r="K519" i="1"/>
  <c r="H519" i="1"/>
  <c r="I519" i="1" s="1"/>
  <c r="H533" i="1"/>
  <c r="H530" i="1"/>
  <c r="N528" i="1"/>
  <c r="O528" i="1" s="1"/>
  <c r="P528" i="1" s="1"/>
  <c r="K528" i="1"/>
  <c r="H528" i="1"/>
  <c r="I528" i="1" s="1"/>
  <c r="H526" i="1"/>
  <c r="H525" i="1"/>
  <c r="H524" i="1"/>
  <c r="K384" i="1"/>
  <c r="H384" i="1"/>
  <c r="I384" i="1" s="1"/>
  <c r="K383" i="1"/>
  <c r="H383" i="1"/>
  <c r="I383" i="1" s="1"/>
  <c r="K382" i="1"/>
  <c r="H382" i="1"/>
  <c r="I382" i="1" s="1"/>
  <c r="K381" i="1"/>
  <c r="H381" i="1"/>
  <c r="I381" i="1" s="1"/>
  <c r="K380" i="1"/>
  <c r="H380" i="1"/>
  <c r="I380" i="1" s="1"/>
  <c r="K379" i="1"/>
  <c r="H379" i="1"/>
  <c r="I379" i="1" s="1"/>
  <c r="K376" i="1"/>
  <c r="H376" i="1"/>
  <c r="I376" i="1" s="1"/>
  <c r="N359" i="1"/>
  <c r="K359" i="1"/>
  <c r="H359" i="1"/>
  <c r="I359" i="1" s="1"/>
  <c r="N358" i="1"/>
  <c r="K358" i="1"/>
  <c r="H358" i="1"/>
  <c r="I358" i="1" s="1"/>
  <c r="N355" i="1"/>
  <c r="K355" i="1"/>
  <c r="H355" i="1"/>
  <c r="I355" i="1" s="1"/>
  <c r="K354" i="1"/>
  <c r="H354" i="1"/>
  <c r="I354" i="1" s="1"/>
  <c r="K353" i="1"/>
  <c r="H353" i="1"/>
  <c r="I353" i="1" s="1"/>
  <c r="K352" i="1"/>
  <c r="H352" i="1"/>
  <c r="I352" i="1" s="1"/>
  <c r="K351" i="1"/>
  <c r="H351" i="1"/>
  <c r="I351" i="1" s="1"/>
  <c r="K511" i="1"/>
  <c r="H511" i="1"/>
  <c r="I511" i="1" s="1"/>
  <c r="K514" i="1"/>
  <c r="H514" i="1"/>
  <c r="I514" i="1" s="1"/>
  <c r="K508" i="1"/>
  <c r="H508" i="1"/>
  <c r="I508" i="1" s="1"/>
  <c r="K507" i="1"/>
  <c r="H507" i="1"/>
  <c r="I507" i="1" s="1"/>
  <c r="K506" i="1"/>
  <c r="H506" i="1"/>
  <c r="I506" i="1" s="1"/>
  <c r="K503" i="1"/>
  <c r="H503" i="1"/>
  <c r="I503" i="1" s="1"/>
  <c r="K502" i="1"/>
  <c r="H502" i="1"/>
  <c r="I502" i="1" s="1"/>
  <c r="K501" i="1"/>
  <c r="H501" i="1"/>
  <c r="I501" i="1" s="1"/>
  <c r="K500" i="1"/>
  <c r="H500" i="1"/>
  <c r="I500" i="1" s="1"/>
  <c r="K499" i="1"/>
  <c r="H499" i="1"/>
  <c r="I499" i="1" s="1"/>
  <c r="G468" i="1"/>
  <c r="H468" i="1" s="1"/>
  <c r="N488" i="1"/>
  <c r="O488" i="1" s="1"/>
  <c r="H488" i="1"/>
  <c r="N487" i="1"/>
  <c r="O487" i="1" s="1"/>
  <c r="H487" i="1"/>
  <c r="N486" i="1"/>
  <c r="O486" i="1" s="1"/>
  <c r="H486" i="1"/>
  <c r="N485" i="1"/>
  <c r="O485" i="1" s="1"/>
  <c r="H485" i="1"/>
  <c r="N484" i="1"/>
  <c r="O484" i="1" s="1"/>
  <c r="H484" i="1"/>
  <c r="N483" i="1"/>
  <c r="O483" i="1" s="1"/>
  <c r="P483" i="1" s="1"/>
  <c r="K483" i="1"/>
  <c r="H483" i="1"/>
  <c r="I483" i="1" s="1"/>
  <c r="N480" i="1"/>
  <c r="O480" i="1" s="1"/>
  <c r="H480" i="1"/>
  <c r="N479" i="1"/>
  <c r="O479" i="1" s="1"/>
  <c r="H479" i="1"/>
  <c r="N478" i="1"/>
  <c r="O478" i="1" s="1"/>
  <c r="H478" i="1"/>
  <c r="N477" i="1"/>
  <c r="O477" i="1" s="1"/>
  <c r="H477" i="1"/>
  <c r="N476" i="1"/>
  <c r="O476" i="1" s="1"/>
  <c r="H476" i="1"/>
  <c r="N475" i="1"/>
  <c r="O475" i="1" s="1"/>
  <c r="P475" i="1" s="1"/>
  <c r="K475" i="1"/>
  <c r="H475" i="1"/>
  <c r="I475" i="1" s="1"/>
  <c r="N472" i="1"/>
  <c r="O472" i="1" s="1"/>
  <c r="H472" i="1"/>
  <c r="N471" i="1"/>
  <c r="O471" i="1" s="1"/>
  <c r="H471" i="1"/>
  <c r="N470" i="1"/>
  <c r="O470" i="1" s="1"/>
  <c r="H470" i="1"/>
  <c r="N469" i="1"/>
  <c r="O469" i="1" s="1"/>
  <c r="H469" i="1"/>
  <c r="N468" i="1"/>
  <c r="O468" i="1" s="1"/>
  <c r="N467" i="1"/>
  <c r="O467" i="1" s="1"/>
  <c r="P467" i="1" s="1"/>
  <c r="K467" i="1"/>
  <c r="H467" i="1"/>
  <c r="I467" i="1" s="1"/>
  <c r="N465" i="1"/>
  <c r="O465" i="1" s="1"/>
  <c r="H465" i="1"/>
  <c r="N464" i="1"/>
  <c r="O464" i="1" s="1"/>
  <c r="H464" i="1"/>
  <c r="N463" i="1"/>
  <c r="O463" i="1" s="1"/>
  <c r="H463" i="1"/>
  <c r="N462" i="1"/>
  <c r="O462" i="1" s="1"/>
  <c r="H462" i="1"/>
  <c r="N461" i="1"/>
  <c r="O461" i="1" s="1"/>
  <c r="H461" i="1"/>
  <c r="N460" i="1"/>
  <c r="O460" i="1" s="1"/>
  <c r="P460" i="1" s="1"/>
  <c r="K460" i="1"/>
  <c r="H460" i="1"/>
  <c r="I460" i="1" s="1"/>
  <c r="N458" i="1"/>
  <c r="O458" i="1" s="1"/>
  <c r="H458" i="1"/>
  <c r="N457" i="1"/>
  <c r="O457" i="1" s="1"/>
  <c r="H457" i="1"/>
  <c r="N456" i="1"/>
  <c r="O456" i="1" s="1"/>
  <c r="H456" i="1"/>
  <c r="N455" i="1"/>
  <c r="O455" i="1" s="1"/>
  <c r="H455" i="1"/>
  <c r="N454" i="1"/>
  <c r="O454" i="1" s="1"/>
  <c r="H454" i="1"/>
  <c r="N453" i="1"/>
  <c r="O453" i="1" s="1"/>
  <c r="P453" i="1" s="1"/>
  <c r="K453" i="1"/>
  <c r="H453" i="1"/>
  <c r="I453" i="1" s="1"/>
  <c r="N451" i="1"/>
  <c r="O451" i="1" s="1"/>
  <c r="H451" i="1"/>
  <c r="N450" i="1"/>
  <c r="O450" i="1" s="1"/>
  <c r="H450" i="1"/>
  <c r="N449" i="1"/>
  <c r="O449" i="1" s="1"/>
  <c r="H449" i="1"/>
  <c r="N448" i="1"/>
  <c r="O448" i="1" s="1"/>
  <c r="H448" i="1"/>
  <c r="N447" i="1"/>
  <c r="O447" i="1" s="1"/>
  <c r="H447" i="1"/>
  <c r="N446" i="1"/>
  <c r="O446" i="1" s="1"/>
  <c r="H446" i="1"/>
  <c r="N444" i="1"/>
  <c r="O444" i="1" s="1"/>
  <c r="H444" i="1"/>
  <c r="N443" i="1"/>
  <c r="O443" i="1" s="1"/>
  <c r="H443" i="1"/>
  <c r="N442" i="1"/>
  <c r="O442" i="1" s="1"/>
  <c r="H442" i="1"/>
  <c r="N441" i="1"/>
  <c r="O441" i="1" s="1"/>
  <c r="H441" i="1"/>
  <c r="N440" i="1"/>
  <c r="O440" i="1" s="1"/>
  <c r="H440" i="1"/>
  <c r="N439" i="1"/>
  <c r="O439" i="1" s="1"/>
  <c r="P439" i="1" s="1"/>
  <c r="K439" i="1"/>
  <c r="H439" i="1"/>
  <c r="I439" i="1" s="1"/>
  <c r="H432" i="1"/>
  <c r="K390" i="1"/>
  <c r="H390" i="1"/>
  <c r="I390" i="1" s="1"/>
  <c r="K389" i="1"/>
  <c r="H389" i="1"/>
  <c r="I389" i="1" s="1"/>
  <c r="K388" i="1"/>
  <c r="H388" i="1"/>
  <c r="I388" i="1" s="1"/>
  <c r="K362" i="1"/>
  <c r="H362" i="1"/>
  <c r="I362" i="1" s="1"/>
  <c r="N342" i="1"/>
  <c r="K342" i="1"/>
  <c r="H342" i="1"/>
  <c r="I342" i="1" s="1"/>
  <c r="K339" i="1"/>
  <c r="H339" i="1"/>
  <c r="I339" i="1" s="1"/>
  <c r="K338" i="1"/>
  <c r="H338" i="1"/>
  <c r="I338" i="1" s="1"/>
  <c r="K337" i="1"/>
  <c r="H337" i="1"/>
  <c r="I337" i="1" s="1"/>
  <c r="H331" i="1"/>
  <c r="K328" i="1"/>
  <c r="H328" i="1"/>
  <c r="I328" i="1" s="1"/>
  <c r="K327" i="1"/>
  <c r="H327" i="1"/>
  <c r="I327" i="1" s="1"/>
  <c r="K326" i="1"/>
  <c r="H326" i="1"/>
  <c r="I326" i="1" s="1"/>
  <c r="N324" i="1"/>
  <c r="K324" i="1"/>
  <c r="H324" i="1"/>
  <c r="I324" i="1" s="1"/>
  <c r="K323" i="1"/>
  <c r="H323" i="1"/>
  <c r="I323" i="1" s="1"/>
  <c r="K321" i="1"/>
  <c r="H321" i="1"/>
  <c r="I321" i="1" s="1"/>
  <c r="K316" i="1"/>
  <c r="H316" i="1"/>
  <c r="I316" i="1" s="1"/>
  <c r="K315" i="1"/>
  <c r="H315" i="1"/>
  <c r="I315" i="1" s="1"/>
  <c r="K314" i="1"/>
  <c r="H314" i="1"/>
  <c r="I314" i="1" s="1"/>
  <c r="K313" i="1"/>
  <c r="H313" i="1"/>
  <c r="I313" i="1" s="1"/>
  <c r="K312" i="1"/>
  <c r="H312" i="1"/>
  <c r="I312" i="1" s="1"/>
  <c r="H309" i="1"/>
  <c r="K308" i="1"/>
  <c r="H308" i="1"/>
  <c r="I308" i="1" s="1"/>
  <c r="K304" i="1"/>
  <c r="H304" i="1"/>
  <c r="I304" i="1" s="1"/>
  <c r="K305" i="1"/>
  <c r="H305" i="1"/>
  <c r="I305" i="1" s="1"/>
  <c r="K303" i="1"/>
  <c r="H303" i="1"/>
  <c r="I303" i="1" s="1"/>
  <c r="K300" i="1"/>
  <c r="H300" i="1"/>
  <c r="I300" i="1" s="1"/>
  <c r="H297" i="1"/>
  <c r="H296" i="1"/>
  <c r="K293" i="1"/>
  <c r="H293" i="1"/>
  <c r="I293" i="1" s="1"/>
  <c r="H290" i="1"/>
  <c r="H287" i="1"/>
  <c r="K282" i="1"/>
  <c r="H282" i="1"/>
  <c r="I282" i="1" s="1"/>
  <c r="H280" i="1"/>
  <c r="H283" i="1"/>
  <c r="K284" i="1"/>
  <c r="H284" i="1"/>
  <c r="I284" i="1" s="1"/>
  <c r="N281" i="1"/>
  <c r="K281" i="1"/>
  <c r="H281" i="1"/>
  <c r="I281" i="1" s="1"/>
  <c r="H279" i="1"/>
  <c r="H278" i="1"/>
  <c r="H276" i="1"/>
  <c r="H277" i="1"/>
  <c r="H275" i="1"/>
  <c r="H274" i="1"/>
  <c r="K271" i="1"/>
  <c r="H271" i="1"/>
  <c r="I271" i="1" s="1"/>
  <c r="H270" i="1"/>
  <c r="H269" i="1"/>
  <c r="K246" i="1"/>
  <c r="H246" i="1"/>
  <c r="I246" i="1" s="1"/>
  <c r="K245" i="1"/>
  <c r="H245" i="1"/>
  <c r="I245" i="1" s="1"/>
  <c r="K238" i="1"/>
  <c r="K239" i="1"/>
  <c r="H239" i="1"/>
  <c r="I239" i="1" s="1"/>
  <c r="N242" i="1"/>
  <c r="O242" i="1" s="1"/>
  <c r="P242" i="1" s="1"/>
  <c r="K242" i="1"/>
  <c r="H242" i="1"/>
  <c r="I242" i="1" s="1"/>
  <c r="N241" i="1"/>
  <c r="O241" i="1" s="1"/>
  <c r="P241" i="1" s="1"/>
  <c r="K241" i="1"/>
  <c r="H241" i="1"/>
  <c r="I241" i="1" s="1"/>
  <c r="N240" i="1"/>
  <c r="O240" i="1" s="1"/>
  <c r="P240" i="1" s="1"/>
  <c r="K240" i="1"/>
  <c r="H240" i="1"/>
  <c r="I240" i="1" s="1"/>
  <c r="K237" i="1"/>
  <c r="H237" i="1"/>
  <c r="I237" i="1" s="1"/>
  <c r="K236" i="1"/>
  <c r="H236" i="1"/>
  <c r="I236" i="1" s="1"/>
  <c r="K235" i="1"/>
  <c r="H235" i="1"/>
  <c r="I235" i="1" s="1"/>
  <c r="K234" i="1"/>
  <c r="H234" i="1"/>
  <c r="I234" i="1" s="1"/>
  <c r="N227" i="1"/>
  <c r="K227" i="1"/>
  <c r="H227" i="1"/>
  <c r="I227" i="1" s="1"/>
  <c r="H230" i="1"/>
  <c r="N229" i="1"/>
  <c r="O229" i="1" s="1"/>
  <c r="P229" i="1" s="1"/>
  <c r="H229" i="1"/>
  <c r="I229" i="1" s="1"/>
  <c r="N228" i="1"/>
  <c r="O228" i="1" s="1"/>
  <c r="P228" i="1" s="1"/>
  <c r="H228" i="1"/>
  <c r="I228" i="1" s="1"/>
  <c r="K190" i="1"/>
  <c r="N201" i="1"/>
  <c r="O201" i="1" s="1"/>
  <c r="K201" i="1"/>
  <c r="H201" i="1"/>
  <c r="I201" i="1" s="1"/>
  <c r="H189" i="1"/>
  <c r="K188" i="1"/>
  <c r="K219" i="1"/>
  <c r="H219" i="1"/>
  <c r="I219" i="1" s="1"/>
  <c r="H215" i="1"/>
  <c r="N214" i="1"/>
  <c r="K214" i="1"/>
  <c r="H214" i="1"/>
  <c r="I214" i="1" s="1"/>
  <c r="N213" i="1"/>
  <c r="H213" i="1"/>
  <c r="N212" i="1"/>
  <c r="K212" i="1"/>
  <c r="H212" i="1"/>
  <c r="I212" i="1" s="1"/>
  <c r="K207" i="1"/>
  <c r="H207" i="1"/>
  <c r="I207" i="1" s="1"/>
  <c r="K206" i="1"/>
  <c r="H206" i="1"/>
  <c r="I206" i="1" s="1"/>
  <c r="K200" i="1"/>
  <c r="H200" i="1"/>
  <c r="I200" i="1" s="1"/>
  <c r="K199" i="1"/>
  <c r="H199" i="1"/>
  <c r="I199" i="1" s="1"/>
  <c r="K198" i="1"/>
  <c r="H198" i="1"/>
  <c r="I198" i="1" s="1"/>
  <c r="H185" i="1"/>
  <c r="I185" i="1" s="1"/>
  <c r="K185" i="1"/>
  <c r="K256" i="1"/>
  <c r="H256" i="1"/>
  <c r="I256" i="1" s="1"/>
  <c r="K255" i="1"/>
  <c r="H255" i="1"/>
  <c r="I255" i="1" s="1"/>
  <c r="H254" i="1"/>
  <c r="H176" i="1"/>
  <c r="I176" i="1" s="1"/>
  <c r="H172" i="1"/>
  <c r="I172" i="1" s="1"/>
  <c r="H171" i="1"/>
  <c r="I171" i="1" s="1"/>
  <c r="H170" i="1"/>
  <c r="K178" i="1"/>
  <c r="H178" i="1"/>
  <c r="I178" i="1" s="1"/>
  <c r="K177" i="1"/>
  <c r="H177" i="1"/>
  <c r="I177" i="1" s="1"/>
  <c r="H174" i="1"/>
  <c r="I174" i="1" s="1"/>
  <c r="K174" i="1"/>
  <c r="K176" i="1"/>
  <c r="K175" i="1"/>
  <c r="H175" i="1"/>
  <c r="I175" i="1" s="1"/>
  <c r="K173" i="1"/>
  <c r="H173" i="1"/>
  <c r="I173" i="1" s="1"/>
  <c r="K172" i="1"/>
  <c r="K171" i="1"/>
  <c r="K167" i="1"/>
  <c r="H167" i="1"/>
  <c r="I167" i="1" s="1"/>
  <c r="K164" i="1"/>
  <c r="H164" i="1"/>
  <c r="I164" i="1" s="1"/>
  <c r="H163" i="1"/>
  <c r="H162" i="1"/>
  <c r="K161" i="1"/>
  <c r="H161" i="1"/>
  <c r="I161" i="1" s="1"/>
  <c r="H160" i="1"/>
  <c r="H159" i="1"/>
  <c r="H158" i="1"/>
  <c r="K139" i="1"/>
  <c r="H139" i="1"/>
  <c r="I139" i="1" s="1"/>
  <c r="K138" i="1"/>
  <c r="H138" i="1"/>
  <c r="I138" i="1" s="1"/>
  <c r="K137" i="1"/>
  <c r="H137" i="1"/>
  <c r="I137" i="1" s="1"/>
  <c r="K142" i="1"/>
  <c r="H142" i="1"/>
  <c r="I142" i="1" s="1"/>
  <c r="K118" i="1"/>
  <c r="H118" i="1"/>
  <c r="I118" i="1" s="1"/>
  <c r="K117" i="1"/>
  <c r="H117" i="1"/>
  <c r="I117" i="1" s="1"/>
  <c r="K116" i="1"/>
  <c r="H116" i="1"/>
  <c r="I116" i="1" s="1"/>
  <c r="K115" i="1"/>
  <c r="H115" i="1"/>
  <c r="I115" i="1" s="1"/>
  <c r="K114" i="1"/>
  <c r="K113" i="1"/>
  <c r="H113" i="1"/>
  <c r="I113" i="1" s="1"/>
  <c r="K112" i="1"/>
  <c r="H112" i="1"/>
  <c r="I112" i="1" s="1"/>
  <c r="K111" i="1"/>
  <c r="H111" i="1"/>
  <c r="I111" i="1" s="1"/>
  <c r="K153" i="1"/>
  <c r="H153" i="1"/>
  <c r="I153" i="1" s="1"/>
  <c r="K147" i="1"/>
  <c r="K150" i="1"/>
  <c r="H149" i="1"/>
  <c r="I149" i="1" s="1"/>
  <c r="K148" i="1"/>
  <c r="H146" i="1"/>
  <c r="I146" i="1" s="1"/>
  <c r="H145" i="1"/>
  <c r="I145" i="1" s="1"/>
  <c r="K134" i="1"/>
  <c r="H134" i="1"/>
  <c r="I134" i="1" s="1"/>
  <c r="K133" i="1"/>
  <c r="H133" i="1"/>
  <c r="I133" i="1" s="1"/>
  <c r="H132" i="1"/>
  <c r="K129" i="1"/>
  <c r="H129" i="1"/>
  <c r="I129" i="1" s="1"/>
  <c r="H128" i="1"/>
  <c r="N127" i="1"/>
  <c r="O127" i="1" s="1"/>
  <c r="P127" i="1" s="1"/>
  <c r="H127" i="1"/>
  <c r="I127" i="1" s="1"/>
  <c r="N126" i="1"/>
  <c r="O126" i="1"/>
  <c r="P126" i="1" s="1"/>
  <c r="H126" i="1"/>
  <c r="I126" i="1" s="1"/>
  <c r="K122" i="1"/>
  <c r="H122" i="1"/>
  <c r="I122" i="1" s="1"/>
  <c r="K121" i="1"/>
  <c r="H121" i="1"/>
  <c r="I121" i="1" s="1"/>
  <c r="K123" i="1"/>
  <c r="H123" i="1"/>
  <c r="I123" i="1" s="1"/>
  <c r="K110" i="1"/>
  <c r="H110" i="1"/>
  <c r="I110" i="1" s="1"/>
  <c r="K109" i="1"/>
  <c r="H109" i="1"/>
  <c r="I109" i="1" s="1"/>
  <c r="K108" i="1"/>
  <c r="H108" i="1"/>
  <c r="I108" i="1" s="1"/>
  <c r="K107" i="1"/>
  <c r="H107" i="1"/>
  <c r="I107" i="1" s="1"/>
  <c r="K106" i="1"/>
  <c r="H106" i="1"/>
  <c r="I106" i="1" s="1"/>
  <c r="K105" i="1"/>
  <c r="H105" i="1"/>
  <c r="I105" i="1" s="1"/>
  <c r="K104" i="1"/>
  <c r="H104" i="1"/>
  <c r="I104" i="1" s="1"/>
  <c r="K103" i="1"/>
  <c r="H103" i="1"/>
  <c r="I103" i="1" s="1"/>
  <c r="K102" i="1"/>
  <c r="H102" i="1"/>
  <c r="I102" i="1" s="1"/>
  <c r="K101" i="1"/>
  <c r="H101" i="1"/>
  <c r="I101" i="1" s="1"/>
  <c r="N101" i="1"/>
  <c r="N98" i="1"/>
  <c r="O98" i="1" s="1"/>
  <c r="P98" i="1" s="1"/>
  <c r="H98" i="1"/>
  <c r="I98" i="1" s="1"/>
  <c r="N97" i="1"/>
  <c r="K97" i="1"/>
  <c r="H97" i="1"/>
  <c r="I97" i="1" s="1"/>
  <c r="N96" i="1"/>
  <c r="O96" i="1" s="1"/>
  <c r="P96" i="1" s="1"/>
  <c r="H96" i="1"/>
  <c r="I96" i="1" s="1"/>
  <c r="N95" i="1"/>
  <c r="O95" i="1" s="1"/>
  <c r="P95" i="1" s="1"/>
  <c r="K95" i="1"/>
  <c r="H95" i="1"/>
  <c r="I95" i="1" s="1"/>
  <c r="N94" i="1"/>
  <c r="H94" i="1"/>
  <c r="H93" i="1"/>
  <c r="K88" i="1"/>
  <c r="H88" i="1"/>
  <c r="I88" i="1" s="1"/>
  <c r="K85" i="1"/>
  <c r="H84" i="1"/>
  <c r="I84" i="1" s="1"/>
  <c r="K84" i="1"/>
  <c r="K81" i="1"/>
  <c r="H81" i="1"/>
  <c r="I81" i="1" s="1"/>
  <c r="H78" i="1"/>
  <c r="K73" i="1"/>
  <c r="H73" i="1"/>
  <c r="I73" i="1" s="1"/>
  <c r="H70" i="1"/>
  <c r="H67" i="1"/>
  <c r="H66" i="1"/>
  <c r="H63" i="1"/>
  <c r="H62" i="1"/>
  <c r="H61" i="1"/>
  <c r="H60" i="1"/>
  <c r="H59" i="1"/>
  <c r="H58" i="1"/>
  <c r="H57" i="1"/>
  <c r="H54" i="1"/>
  <c r="K45" i="1"/>
  <c r="H45" i="1"/>
  <c r="I45" i="1" s="1"/>
  <c r="K33" i="1"/>
  <c r="H29" i="1"/>
  <c r="H28" i="1"/>
  <c r="K40" i="1"/>
  <c r="H40" i="1"/>
  <c r="I40" i="1" s="1"/>
  <c r="K39" i="1"/>
  <c r="H39" i="1"/>
  <c r="I39" i="1" s="1"/>
  <c r="K38" i="1"/>
  <c r="H38" i="1"/>
  <c r="I38" i="1" s="1"/>
  <c r="K37" i="1"/>
  <c r="H37" i="1"/>
  <c r="I37" i="1" s="1"/>
  <c r="K36" i="1"/>
  <c r="H36" i="1"/>
  <c r="I36" i="1" s="1"/>
  <c r="K35" i="1"/>
  <c r="H35" i="1"/>
  <c r="I35" i="1" s="1"/>
  <c r="K34" i="1"/>
  <c r="H34" i="1"/>
  <c r="I34" i="1" s="1"/>
  <c r="H33" i="1"/>
  <c r="I33" i="1" s="1"/>
  <c r="K32" i="1"/>
  <c r="H32" i="1"/>
  <c r="I32" i="1" s="1"/>
  <c r="K31" i="1"/>
  <c r="H31" i="1"/>
  <c r="I31" i="1" s="1"/>
  <c r="K30" i="1"/>
  <c r="H30" i="1"/>
  <c r="I30" i="1" s="1"/>
  <c r="K27" i="1"/>
  <c r="H27" i="1"/>
  <c r="I27" i="1" s="1"/>
  <c r="Q483" i="1" l="1"/>
  <c r="R483" i="1" s="1"/>
  <c r="Q467" i="1"/>
  <c r="R467" i="1" s="1"/>
  <c r="Q96" i="1"/>
  <c r="Q453" i="1"/>
  <c r="R453" i="1" s="1"/>
  <c r="Q127" i="1"/>
  <c r="R127" i="1" s="1"/>
  <c r="Q439" i="1"/>
  <c r="R439" i="1" s="1"/>
  <c r="Q475" i="1"/>
  <c r="R475" i="1" s="1"/>
  <c r="Q460" i="1"/>
  <c r="R460" i="1" s="1"/>
  <c r="H238" i="1"/>
  <c r="I238" i="1" s="1"/>
  <c r="K229" i="1"/>
  <c r="K228" i="1"/>
  <c r="H190" i="1"/>
  <c r="I190" i="1" s="1"/>
  <c r="H188" i="1"/>
  <c r="I188" i="1" s="1"/>
  <c r="Q98" i="1"/>
  <c r="Q95" i="1"/>
  <c r="H147" i="1"/>
  <c r="I147" i="1" s="1"/>
  <c r="H150" i="1"/>
  <c r="I150" i="1" s="1"/>
  <c r="K149" i="1"/>
  <c r="H148" i="1"/>
  <c r="I148" i="1" s="1"/>
  <c r="K146" i="1"/>
  <c r="K145" i="1"/>
  <c r="Q126" i="1"/>
  <c r="R126" i="1" s="1"/>
  <c r="K127" i="1"/>
  <c r="K126" i="1"/>
  <c r="O101" i="1"/>
  <c r="P101" i="1" s="1"/>
  <c r="Q101" i="1" s="1"/>
  <c r="K98" i="1"/>
  <c r="O94" i="1"/>
  <c r="O97" i="1"/>
  <c r="P97" i="1" s="1"/>
  <c r="Q97" i="1" s="1"/>
  <c r="K96" i="1"/>
  <c r="H85" i="1"/>
  <c r="I85" i="1" s="1"/>
  <c r="N545" i="1" l="1"/>
  <c r="O545" i="1" s="1"/>
  <c r="P545" i="1" s="1"/>
  <c r="K545" i="1"/>
  <c r="H545" i="1"/>
  <c r="I545" i="1" s="1"/>
  <c r="N544" i="1"/>
  <c r="O544" i="1" s="1"/>
  <c r="H544" i="1"/>
  <c r="N543" i="1"/>
  <c r="O543" i="1" s="1"/>
  <c r="H543" i="1"/>
  <c r="N542" i="1"/>
  <c r="O542" i="1" s="1"/>
  <c r="H542" i="1"/>
  <c r="N1258" i="1"/>
  <c r="O1258" i="1" s="1"/>
  <c r="P1258" i="1" s="1"/>
  <c r="K1258" i="1"/>
  <c r="H1258" i="1"/>
  <c r="I1258" i="1" s="1"/>
  <c r="N1257" i="1"/>
  <c r="O1257" i="1" s="1"/>
  <c r="N1256" i="1"/>
  <c r="O1256" i="1" s="1"/>
  <c r="N1255" i="1"/>
  <c r="O1255" i="1" s="1"/>
  <c r="N1254" i="1"/>
  <c r="O1254" i="1" s="1"/>
  <c r="P1254" i="1" s="1"/>
  <c r="K1254" i="1"/>
  <c r="H1254" i="1"/>
  <c r="I1254" i="1" s="1"/>
  <c r="N1253" i="1"/>
  <c r="O1253" i="1" s="1"/>
  <c r="P1253" i="1" s="1"/>
  <c r="K1253" i="1"/>
  <c r="H1253" i="1"/>
  <c r="I1253" i="1" s="1"/>
  <c r="N1252" i="1"/>
  <c r="O1252" i="1" s="1"/>
  <c r="P1252" i="1" s="1"/>
  <c r="K1252" i="1"/>
  <c r="H1252" i="1"/>
  <c r="I1252" i="1" s="1"/>
  <c r="N1251" i="1"/>
  <c r="O1251" i="1" s="1"/>
  <c r="P1251" i="1" s="1"/>
  <c r="K1251" i="1"/>
  <c r="H1251" i="1"/>
  <c r="I1251" i="1" s="1"/>
  <c r="N1250" i="1"/>
  <c r="O1250" i="1" s="1"/>
  <c r="P1250" i="1" s="1"/>
  <c r="K1250" i="1"/>
  <c r="H1250" i="1"/>
  <c r="I1250" i="1" s="1"/>
  <c r="N1249" i="1"/>
  <c r="O1249" i="1" s="1"/>
  <c r="P1249" i="1" s="1"/>
  <c r="K1249" i="1"/>
  <c r="H1249" i="1"/>
  <c r="I1249" i="1" s="1"/>
  <c r="N1248" i="1"/>
  <c r="O1248" i="1" s="1"/>
  <c r="P1248" i="1" s="1"/>
  <c r="N1247" i="1"/>
  <c r="O1247" i="1" s="1"/>
  <c r="P1247" i="1" s="1"/>
  <c r="K1247" i="1"/>
  <c r="H1247" i="1"/>
  <c r="I1247" i="1" s="1"/>
  <c r="N1246" i="1"/>
  <c r="O1246" i="1" s="1"/>
  <c r="P1246" i="1" s="1"/>
  <c r="K1246" i="1"/>
  <c r="H1246" i="1"/>
  <c r="I1246" i="1" s="1"/>
  <c r="N1245" i="1"/>
  <c r="O1245" i="1" s="1"/>
  <c r="P1245" i="1" s="1"/>
  <c r="K1245" i="1"/>
  <c r="H1245" i="1"/>
  <c r="I1245" i="1" s="1"/>
  <c r="N1244" i="1"/>
  <c r="O1244" i="1" s="1"/>
  <c r="P1244" i="1" s="1"/>
  <c r="N1243" i="1"/>
  <c r="O1243" i="1" s="1"/>
  <c r="P1243" i="1" s="1"/>
  <c r="K1243" i="1"/>
  <c r="H1243" i="1"/>
  <c r="I1243" i="1" s="1"/>
  <c r="N1242" i="1"/>
  <c r="O1242" i="1" s="1"/>
  <c r="P1242" i="1" s="1"/>
  <c r="K1242" i="1"/>
  <c r="H1242" i="1"/>
  <c r="I1242" i="1" s="1"/>
  <c r="O1241" i="1"/>
  <c r="P1241" i="1" s="1"/>
  <c r="H1241" i="1"/>
  <c r="I1241" i="1" s="1"/>
  <c r="N1240" i="1"/>
  <c r="O1240" i="1" s="1"/>
  <c r="P1240" i="1" s="1"/>
  <c r="K1240" i="1"/>
  <c r="H1240" i="1"/>
  <c r="I1240" i="1" s="1"/>
  <c r="N1239" i="1"/>
  <c r="O1239" i="1" s="1"/>
  <c r="P1239" i="1" s="1"/>
  <c r="K1239" i="1"/>
  <c r="H1239" i="1"/>
  <c r="I1239" i="1" s="1"/>
  <c r="O1238" i="1"/>
  <c r="P1238" i="1" s="1"/>
  <c r="H1238" i="1"/>
  <c r="I1238" i="1" s="1"/>
  <c r="O1237" i="1"/>
  <c r="P1237" i="1" s="1"/>
  <c r="H1237" i="1"/>
  <c r="I1237" i="1" s="1"/>
  <c r="N1236" i="1"/>
  <c r="O1236" i="1" s="1"/>
  <c r="P1236" i="1" s="1"/>
  <c r="K1236" i="1"/>
  <c r="H1236" i="1"/>
  <c r="I1236" i="1" s="1"/>
  <c r="N1235" i="1"/>
  <c r="O1235" i="1" s="1"/>
  <c r="P1235" i="1" s="1"/>
  <c r="K1235" i="1"/>
  <c r="H1235" i="1"/>
  <c r="I1235" i="1" s="1"/>
  <c r="N1234" i="1"/>
  <c r="O1234" i="1" s="1"/>
  <c r="P1234" i="1" s="1"/>
  <c r="N1233" i="1"/>
  <c r="O1233" i="1" s="1"/>
  <c r="P1233" i="1" s="1"/>
  <c r="K1233" i="1"/>
  <c r="H1233" i="1"/>
  <c r="I1233" i="1" s="1"/>
  <c r="N1232" i="1"/>
  <c r="O1232" i="1" s="1"/>
  <c r="P1232" i="1" s="1"/>
  <c r="K1232" i="1"/>
  <c r="H1232" i="1"/>
  <c r="I1232" i="1" s="1"/>
  <c r="N1231" i="1"/>
  <c r="O1231" i="1" s="1"/>
  <c r="P1231" i="1" s="1"/>
  <c r="K1231" i="1"/>
  <c r="H1231" i="1"/>
  <c r="I1231" i="1" s="1"/>
  <c r="N1230" i="1"/>
  <c r="O1230" i="1" s="1"/>
  <c r="P1230" i="1" s="1"/>
  <c r="K1230" i="1"/>
  <c r="H1230" i="1"/>
  <c r="I1230" i="1" s="1"/>
  <c r="N1229" i="1"/>
  <c r="O1229" i="1" s="1"/>
  <c r="P1229" i="1" s="1"/>
  <c r="N1228" i="1"/>
  <c r="O1228" i="1" s="1"/>
  <c r="P1228" i="1" s="1"/>
  <c r="N1227" i="1"/>
  <c r="O1227" i="1" s="1"/>
  <c r="P1227" i="1" s="1"/>
  <c r="N1226" i="1"/>
  <c r="O1226" i="1" s="1"/>
  <c r="N1225" i="1"/>
  <c r="O1225" i="1" s="1"/>
  <c r="N1224" i="1"/>
  <c r="O1224" i="1" s="1"/>
  <c r="P1224" i="1" s="1"/>
  <c r="N1223" i="1"/>
  <c r="O1223" i="1" s="1"/>
  <c r="P1223" i="1" s="1"/>
  <c r="K1223" i="1"/>
  <c r="H1223" i="1"/>
  <c r="I1223" i="1" s="1"/>
  <c r="N1222" i="1"/>
  <c r="O1222" i="1" s="1"/>
  <c r="P1222" i="1" s="1"/>
  <c r="K1222" i="1"/>
  <c r="H1222" i="1"/>
  <c r="I1222" i="1" s="1"/>
  <c r="N1220" i="1"/>
  <c r="O1220" i="1" s="1"/>
  <c r="P1220" i="1" s="1"/>
  <c r="K1220" i="1"/>
  <c r="H1220" i="1"/>
  <c r="I1220" i="1" s="1"/>
  <c r="N1216" i="1"/>
  <c r="O1216" i="1" s="1"/>
  <c r="P1216" i="1" s="1"/>
  <c r="K1216" i="1"/>
  <c r="H1216" i="1"/>
  <c r="I1216" i="1" s="1"/>
  <c r="N1215" i="1"/>
  <c r="O1215" i="1" s="1"/>
  <c r="P1215" i="1" s="1"/>
  <c r="K1215" i="1"/>
  <c r="H1215" i="1"/>
  <c r="I1215" i="1" s="1"/>
  <c r="N1214" i="1"/>
  <c r="O1214" i="1" s="1"/>
  <c r="P1214" i="1" s="1"/>
  <c r="K1214" i="1"/>
  <c r="H1214" i="1"/>
  <c r="I1214" i="1" s="1"/>
  <c r="N1213" i="1"/>
  <c r="O1213" i="1" s="1"/>
  <c r="P1213" i="1" s="1"/>
  <c r="K1213" i="1"/>
  <c r="H1213" i="1"/>
  <c r="I1213" i="1" s="1"/>
  <c r="N1212" i="1"/>
  <c r="O1212" i="1" s="1"/>
  <c r="P1212" i="1" s="1"/>
  <c r="K1212" i="1"/>
  <c r="H1212" i="1"/>
  <c r="I1212" i="1" s="1"/>
  <c r="N1211" i="1"/>
  <c r="O1211" i="1" s="1"/>
  <c r="P1211" i="1" s="1"/>
  <c r="K1211" i="1"/>
  <c r="H1211" i="1"/>
  <c r="I1211" i="1" s="1"/>
  <c r="N1210" i="1"/>
  <c r="O1210" i="1" s="1"/>
  <c r="P1210" i="1" s="1"/>
  <c r="K1210" i="1"/>
  <c r="H1210" i="1"/>
  <c r="I1210" i="1" s="1"/>
  <c r="N1209" i="1"/>
  <c r="O1209" i="1" s="1"/>
  <c r="P1209" i="1" s="1"/>
  <c r="K1209" i="1"/>
  <c r="H1209" i="1"/>
  <c r="I1209" i="1" s="1"/>
  <c r="O1205" i="1"/>
  <c r="P1205" i="1" s="1"/>
  <c r="N1204" i="1"/>
  <c r="O1204" i="1" s="1"/>
  <c r="P1204" i="1" s="1"/>
  <c r="K1204" i="1"/>
  <c r="H1204" i="1"/>
  <c r="I1204" i="1" s="1"/>
  <c r="N1203" i="1"/>
  <c r="O1203" i="1" s="1"/>
  <c r="P1203" i="1" s="1"/>
  <c r="K1203" i="1"/>
  <c r="H1203" i="1"/>
  <c r="I1203" i="1" s="1"/>
  <c r="N1202" i="1"/>
  <c r="O1202" i="1" s="1"/>
  <c r="P1202" i="1" s="1"/>
  <c r="N1201" i="1"/>
  <c r="O1201" i="1" s="1"/>
  <c r="P1201" i="1" s="1"/>
  <c r="K1201" i="1"/>
  <c r="H1201" i="1"/>
  <c r="I1201" i="1" s="1"/>
  <c r="N1200" i="1"/>
  <c r="O1200" i="1" s="1"/>
  <c r="P1200" i="1" s="1"/>
  <c r="K1200" i="1"/>
  <c r="H1200" i="1"/>
  <c r="I1200" i="1" s="1"/>
  <c r="N1199" i="1"/>
  <c r="O1199" i="1" s="1"/>
  <c r="P1199" i="1" s="1"/>
  <c r="K1199" i="1"/>
  <c r="H1199" i="1"/>
  <c r="I1199" i="1" s="1"/>
  <c r="N1198" i="1"/>
  <c r="O1198" i="1" s="1"/>
  <c r="P1198" i="1" s="1"/>
  <c r="K1198" i="1"/>
  <c r="H1198" i="1"/>
  <c r="I1198" i="1" s="1"/>
  <c r="N1197" i="1"/>
  <c r="O1197" i="1" s="1"/>
  <c r="H1197" i="1"/>
  <c r="N1196" i="1"/>
  <c r="O1196" i="1" s="1"/>
  <c r="P1196" i="1" s="1"/>
  <c r="N1195" i="1"/>
  <c r="O1195" i="1" s="1"/>
  <c r="P1195" i="1" s="1"/>
  <c r="K1195" i="1"/>
  <c r="H1195" i="1"/>
  <c r="I1195" i="1" s="1"/>
  <c r="N1194" i="1"/>
  <c r="O1194" i="1" s="1"/>
  <c r="P1194" i="1" s="1"/>
  <c r="K1194" i="1"/>
  <c r="H1194" i="1"/>
  <c r="I1194" i="1" s="1"/>
  <c r="N1193" i="1"/>
  <c r="O1193" i="1" s="1"/>
  <c r="P1193" i="1" s="1"/>
  <c r="K1193" i="1"/>
  <c r="H1193" i="1"/>
  <c r="I1193" i="1" s="1"/>
  <c r="N1192" i="1"/>
  <c r="O1192" i="1" s="1"/>
  <c r="P1192" i="1" s="1"/>
  <c r="K1192" i="1"/>
  <c r="H1192" i="1"/>
  <c r="I1192" i="1" s="1"/>
  <c r="N1191" i="1"/>
  <c r="O1191" i="1" s="1"/>
  <c r="P1191" i="1" s="1"/>
  <c r="K1191" i="1"/>
  <c r="H1191" i="1"/>
  <c r="I1191" i="1" s="1"/>
  <c r="N1190" i="1"/>
  <c r="O1190" i="1" s="1"/>
  <c r="P1190" i="1" s="1"/>
  <c r="K1190" i="1"/>
  <c r="H1190" i="1"/>
  <c r="I1190" i="1" s="1"/>
  <c r="N1189" i="1"/>
  <c r="O1189" i="1" s="1"/>
  <c r="P1189" i="1" s="1"/>
  <c r="K1189" i="1"/>
  <c r="H1189" i="1"/>
  <c r="I1189" i="1" s="1"/>
  <c r="P1188" i="1"/>
  <c r="N1187" i="1"/>
  <c r="O1187" i="1" s="1"/>
  <c r="P1187" i="1" s="1"/>
  <c r="N1186" i="1"/>
  <c r="O1186" i="1" s="1"/>
  <c r="P1186" i="1" s="1"/>
  <c r="K1186" i="1"/>
  <c r="H1186" i="1"/>
  <c r="I1186" i="1" s="1"/>
  <c r="N1185" i="1"/>
  <c r="O1185" i="1" s="1"/>
  <c r="P1185" i="1" s="1"/>
  <c r="K1185" i="1"/>
  <c r="H1185" i="1"/>
  <c r="I1185" i="1" s="1"/>
  <c r="N1184" i="1"/>
  <c r="O1184" i="1" s="1"/>
  <c r="P1184" i="1" s="1"/>
  <c r="H1184" i="1"/>
  <c r="I1184" i="1" s="1"/>
  <c r="N1183" i="1"/>
  <c r="O1183" i="1" s="1"/>
  <c r="P1183" i="1" s="1"/>
  <c r="H1183" i="1"/>
  <c r="I1183" i="1" s="1"/>
  <c r="N1182" i="1"/>
  <c r="O1182" i="1" s="1"/>
  <c r="P1182" i="1" s="1"/>
  <c r="K1182" i="1"/>
  <c r="H1182" i="1"/>
  <c r="I1182" i="1" s="1"/>
  <c r="N1181" i="1"/>
  <c r="O1181" i="1" s="1"/>
  <c r="P1181" i="1" s="1"/>
  <c r="K1181" i="1"/>
  <c r="H1181" i="1"/>
  <c r="I1181" i="1" s="1"/>
  <c r="N1180" i="1"/>
  <c r="O1180" i="1" s="1"/>
  <c r="P1180" i="1" s="1"/>
  <c r="H1180" i="1"/>
  <c r="I1180" i="1" s="1"/>
  <c r="N1179" i="1"/>
  <c r="O1179" i="1" s="1"/>
  <c r="P1179" i="1" s="1"/>
  <c r="H1179" i="1"/>
  <c r="I1179" i="1" s="1"/>
  <c r="N1178" i="1"/>
  <c r="O1178" i="1" s="1"/>
  <c r="P1178" i="1" s="1"/>
  <c r="K1178" i="1"/>
  <c r="H1178" i="1"/>
  <c r="I1178" i="1" s="1"/>
  <c r="N1177" i="1"/>
  <c r="O1177" i="1" s="1"/>
  <c r="P1177" i="1" s="1"/>
  <c r="K1177" i="1"/>
  <c r="H1177" i="1"/>
  <c r="I1177" i="1" s="1"/>
  <c r="N1176" i="1"/>
  <c r="O1176" i="1" s="1"/>
  <c r="P1176" i="1" s="1"/>
  <c r="K1176" i="1"/>
  <c r="H1176" i="1"/>
  <c r="I1176" i="1" s="1"/>
  <c r="N1175" i="1"/>
  <c r="O1175" i="1" s="1"/>
  <c r="P1175" i="1" s="1"/>
  <c r="K1175" i="1"/>
  <c r="H1175" i="1"/>
  <c r="I1175" i="1" s="1"/>
  <c r="N1174" i="1"/>
  <c r="O1174" i="1" s="1"/>
  <c r="P1174" i="1" s="1"/>
  <c r="N1173" i="1"/>
  <c r="O1173" i="1" s="1"/>
  <c r="P1173" i="1" s="1"/>
  <c r="K1173" i="1"/>
  <c r="H1173" i="1"/>
  <c r="I1173" i="1" s="1"/>
  <c r="N1172" i="1"/>
  <c r="O1172" i="1" s="1"/>
  <c r="P1172" i="1" s="1"/>
  <c r="K1172" i="1"/>
  <c r="H1172" i="1"/>
  <c r="I1172" i="1" s="1"/>
  <c r="O1171" i="1"/>
  <c r="P1171" i="1" s="1"/>
  <c r="N1170" i="1"/>
  <c r="O1170" i="1" s="1"/>
  <c r="P1170" i="1" s="1"/>
  <c r="K1170" i="1"/>
  <c r="H1170" i="1"/>
  <c r="I1170" i="1" s="1"/>
  <c r="N1169" i="1"/>
  <c r="O1169" i="1" s="1"/>
  <c r="P1169" i="1" s="1"/>
  <c r="K1169" i="1"/>
  <c r="H1169" i="1"/>
  <c r="I1169" i="1" s="1"/>
  <c r="N1168" i="1"/>
  <c r="O1168" i="1" s="1"/>
  <c r="P1168" i="1" s="1"/>
  <c r="K1168" i="1"/>
  <c r="H1168" i="1"/>
  <c r="I1168" i="1" s="1"/>
  <c r="N1167" i="1"/>
  <c r="O1167" i="1" s="1"/>
  <c r="P1167" i="1" s="1"/>
  <c r="K1167" i="1"/>
  <c r="H1167" i="1"/>
  <c r="I1167" i="1" s="1"/>
  <c r="N1166" i="1"/>
  <c r="O1166" i="1" s="1"/>
  <c r="P1166" i="1" s="1"/>
  <c r="K1166" i="1"/>
  <c r="H1166" i="1"/>
  <c r="I1166" i="1" s="1"/>
  <c r="N1165" i="1"/>
  <c r="O1165" i="1" s="1"/>
  <c r="P1165" i="1" s="1"/>
  <c r="K1165" i="1"/>
  <c r="H1165" i="1"/>
  <c r="I1165" i="1" s="1"/>
  <c r="O1164" i="1"/>
  <c r="P1164" i="1" s="1"/>
  <c r="O1163" i="1"/>
  <c r="P1163" i="1" s="1"/>
  <c r="O1162" i="1"/>
  <c r="P1162" i="1" s="1"/>
  <c r="N1161" i="1"/>
  <c r="O1161" i="1" s="1"/>
  <c r="P1161" i="1" s="1"/>
  <c r="K1161" i="1"/>
  <c r="H1161" i="1"/>
  <c r="I1161" i="1" s="1"/>
  <c r="N1160" i="1"/>
  <c r="O1160" i="1" s="1"/>
  <c r="P1160" i="1" s="1"/>
  <c r="K1160" i="1"/>
  <c r="H1160" i="1"/>
  <c r="I1160" i="1" s="1"/>
  <c r="N1159" i="1"/>
  <c r="O1159" i="1" s="1"/>
  <c r="P1159" i="1" s="1"/>
  <c r="K1159" i="1"/>
  <c r="H1159" i="1"/>
  <c r="I1159" i="1" s="1"/>
  <c r="N1158" i="1"/>
  <c r="O1158" i="1" s="1"/>
  <c r="P1158" i="1" s="1"/>
  <c r="K1158" i="1"/>
  <c r="H1158" i="1"/>
  <c r="I1158" i="1" s="1"/>
  <c r="N1157" i="1"/>
  <c r="O1157" i="1" s="1"/>
  <c r="P1157" i="1" s="1"/>
  <c r="K1157" i="1"/>
  <c r="H1157" i="1"/>
  <c r="I1157" i="1" s="1"/>
  <c r="O1156" i="1"/>
  <c r="P1156" i="1" s="1"/>
  <c r="N1155" i="1"/>
  <c r="O1155" i="1" s="1"/>
  <c r="P1155" i="1" s="1"/>
  <c r="K1155" i="1"/>
  <c r="H1155" i="1"/>
  <c r="I1155" i="1" s="1"/>
  <c r="N1154" i="1"/>
  <c r="O1154" i="1" s="1"/>
  <c r="P1154" i="1" s="1"/>
  <c r="K1154" i="1"/>
  <c r="H1154" i="1"/>
  <c r="I1154" i="1" s="1"/>
  <c r="N1153" i="1"/>
  <c r="O1153" i="1" s="1"/>
  <c r="P1153" i="1" s="1"/>
  <c r="K1153" i="1"/>
  <c r="H1153" i="1"/>
  <c r="I1153" i="1" s="1"/>
  <c r="N1152" i="1"/>
  <c r="O1152" i="1" s="1"/>
  <c r="P1152" i="1" s="1"/>
  <c r="K1152" i="1"/>
  <c r="H1152" i="1"/>
  <c r="I1152" i="1" s="1"/>
  <c r="N1151" i="1"/>
  <c r="O1151" i="1" s="1"/>
  <c r="P1151" i="1" s="1"/>
  <c r="K1151" i="1"/>
  <c r="H1151" i="1"/>
  <c r="I1151" i="1" s="1"/>
  <c r="N1150" i="1"/>
  <c r="O1150" i="1" s="1"/>
  <c r="P1150" i="1" s="1"/>
  <c r="K1150" i="1"/>
  <c r="H1150" i="1"/>
  <c r="I1150" i="1" s="1"/>
  <c r="N1149" i="1"/>
  <c r="O1149" i="1" s="1"/>
  <c r="P1149" i="1" s="1"/>
  <c r="K1149" i="1"/>
  <c r="H1149" i="1"/>
  <c r="I1149" i="1" s="1"/>
  <c r="N1148" i="1"/>
  <c r="O1148" i="1" s="1"/>
  <c r="P1148" i="1" s="1"/>
  <c r="K1148" i="1"/>
  <c r="H1148" i="1"/>
  <c r="I1148" i="1" s="1"/>
  <c r="N1147" i="1"/>
  <c r="O1147" i="1" s="1"/>
  <c r="P1147" i="1" s="1"/>
  <c r="K1147" i="1"/>
  <c r="H1147" i="1"/>
  <c r="I1147" i="1" s="1"/>
  <c r="N1146" i="1"/>
  <c r="O1146" i="1" s="1"/>
  <c r="P1146" i="1" s="1"/>
  <c r="K1146" i="1"/>
  <c r="H1146" i="1"/>
  <c r="I1146" i="1" s="1"/>
  <c r="N1145" i="1"/>
  <c r="O1145" i="1" s="1"/>
  <c r="P1145" i="1" s="1"/>
  <c r="K1145" i="1"/>
  <c r="H1145" i="1"/>
  <c r="I1145" i="1" s="1"/>
  <c r="N1144" i="1"/>
  <c r="O1144" i="1" s="1"/>
  <c r="P1144" i="1" s="1"/>
  <c r="K1144" i="1"/>
  <c r="H1144" i="1"/>
  <c r="I1144" i="1" s="1"/>
  <c r="N1143" i="1"/>
  <c r="O1143" i="1" s="1"/>
  <c r="P1143" i="1" s="1"/>
  <c r="K1143" i="1"/>
  <c r="H1143" i="1"/>
  <c r="I1143" i="1" s="1"/>
  <c r="N1142" i="1"/>
  <c r="O1142" i="1" s="1"/>
  <c r="P1142" i="1" s="1"/>
  <c r="K1142" i="1"/>
  <c r="H1142" i="1"/>
  <c r="I1142" i="1" s="1"/>
  <c r="N1141" i="1"/>
  <c r="O1141" i="1" s="1"/>
  <c r="P1141" i="1" s="1"/>
  <c r="K1141" i="1"/>
  <c r="H1141" i="1"/>
  <c r="I1141" i="1" s="1"/>
  <c r="N1140" i="1"/>
  <c r="O1140" i="1" s="1"/>
  <c r="P1140" i="1" s="1"/>
  <c r="K1140" i="1"/>
  <c r="H1140" i="1"/>
  <c r="I1140" i="1" s="1"/>
  <c r="N1139" i="1"/>
  <c r="O1139" i="1" s="1"/>
  <c r="P1139" i="1" s="1"/>
  <c r="K1139" i="1"/>
  <c r="H1139" i="1"/>
  <c r="I1139" i="1" s="1"/>
  <c r="N1138" i="1"/>
  <c r="O1138" i="1" s="1"/>
  <c r="P1138" i="1" s="1"/>
  <c r="K1138" i="1"/>
  <c r="H1138" i="1"/>
  <c r="I1138" i="1" s="1"/>
  <c r="N1137" i="1"/>
  <c r="O1137" i="1" s="1"/>
  <c r="P1137" i="1" s="1"/>
  <c r="K1137" i="1"/>
  <c r="H1137" i="1"/>
  <c r="I1137" i="1" s="1"/>
  <c r="N1136" i="1"/>
  <c r="O1136" i="1" s="1"/>
  <c r="P1136" i="1" s="1"/>
  <c r="K1136" i="1"/>
  <c r="H1136" i="1"/>
  <c r="I1136" i="1" s="1"/>
  <c r="N1135" i="1"/>
  <c r="O1135" i="1" s="1"/>
  <c r="P1135" i="1" s="1"/>
  <c r="K1135" i="1"/>
  <c r="H1135" i="1"/>
  <c r="I1135" i="1" s="1"/>
  <c r="N1134" i="1"/>
  <c r="O1134" i="1" s="1"/>
  <c r="P1134" i="1" s="1"/>
  <c r="N1133" i="1"/>
  <c r="O1133" i="1" s="1"/>
  <c r="P1133" i="1" s="1"/>
  <c r="K1133" i="1"/>
  <c r="H1133" i="1"/>
  <c r="I1133" i="1" s="1"/>
  <c r="N1132" i="1"/>
  <c r="O1132" i="1" s="1"/>
  <c r="P1132" i="1" s="1"/>
  <c r="K1132" i="1"/>
  <c r="H1132" i="1"/>
  <c r="I1132" i="1" s="1"/>
  <c r="N1131" i="1"/>
  <c r="O1131" i="1" s="1"/>
  <c r="P1131" i="1" s="1"/>
  <c r="K1131" i="1"/>
  <c r="H1131" i="1"/>
  <c r="I1131" i="1" s="1"/>
  <c r="N1130" i="1"/>
  <c r="O1130" i="1" s="1"/>
  <c r="P1130" i="1" s="1"/>
  <c r="K1130" i="1"/>
  <c r="H1130" i="1"/>
  <c r="I1130" i="1" s="1"/>
  <c r="N1129" i="1"/>
  <c r="O1129" i="1" s="1"/>
  <c r="P1129" i="1" s="1"/>
  <c r="K1129" i="1"/>
  <c r="H1129" i="1"/>
  <c r="I1129" i="1" s="1"/>
  <c r="N1128" i="1"/>
  <c r="O1128" i="1" s="1"/>
  <c r="P1128" i="1" s="1"/>
  <c r="K1128" i="1"/>
  <c r="H1128" i="1"/>
  <c r="I1128" i="1" s="1"/>
  <c r="N1127" i="1"/>
  <c r="O1127" i="1" s="1"/>
  <c r="H1127" i="1"/>
  <c r="N1126" i="1"/>
  <c r="O1126" i="1" s="1"/>
  <c r="P1126" i="1" s="1"/>
  <c r="N1125" i="1"/>
  <c r="O1125" i="1" s="1"/>
  <c r="P1125" i="1" s="1"/>
  <c r="N1124" i="1"/>
  <c r="O1124" i="1" s="1"/>
  <c r="P1124" i="1" s="1"/>
  <c r="N1123" i="1"/>
  <c r="O1123" i="1" s="1"/>
  <c r="P1123" i="1" s="1"/>
  <c r="K1123" i="1"/>
  <c r="H1123" i="1"/>
  <c r="I1123" i="1" s="1"/>
  <c r="N1122" i="1"/>
  <c r="O1122" i="1" s="1"/>
  <c r="P1122" i="1" s="1"/>
  <c r="K1122" i="1"/>
  <c r="H1122" i="1"/>
  <c r="I1122" i="1" s="1"/>
  <c r="N1121" i="1"/>
  <c r="O1121" i="1" s="1"/>
  <c r="P1121" i="1" s="1"/>
  <c r="K1121" i="1"/>
  <c r="H1121" i="1"/>
  <c r="I1121" i="1" s="1"/>
  <c r="N1120" i="1"/>
  <c r="O1120" i="1" s="1"/>
  <c r="P1120" i="1" s="1"/>
  <c r="K1120" i="1"/>
  <c r="H1120" i="1"/>
  <c r="I1120" i="1" s="1"/>
  <c r="N1119" i="1"/>
  <c r="O1119" i="1" s="1"/>
  <c r="P1119" i="1" s="1"/>
  <c r="K1119" i="1"/>
  <c r="H1119" i="1"/>
  <c r="I1119" i="1" s="1"/>
  <c r="N1118" i="1"/>
  <c r="O1118" i="1" s="1"/>
  <c r="P1118" i="1" s="1"/>
  <c r="K1118" i="1"/>
  <c r="H1118" i="1"/>
  <c r="I1118" i="1" s="1"/>
  <c r="N1114" i="1"/>
  <c r="O1114" i="1" s="1"/>
  <c r="P1114" i="1" s="1"/>
  <c r="K1114" i="1"/>
  <c r="H1114" i="1"/>
  <c r="I1114" i="1" s="1"/>
  <c r="N1113" i="1"/>
  <c r="O1113" i="1" s="1"/>
  <c r="P1113" i="1" s="1"/>
  <c r="H1113" i="1"/>
  <c r="I1113" i="1" s="1"/>
  <c r="N1112" i="1"/>
  <c r="O1112" i="1" s="1"/>
  <c r="P1112" i="1" s="1"/>
  <c r="K1112" i="1"/>
  <c r="H1112" i="1"/>
  <c r="I1112" i="1" s="1"/>
  <c r="N1111" i="1"/>
  <c r="O1111" i="1" s="1"/>
  <c r="P1111" i="1" s="1"/>
  <c r="K1111" i="1"/>
  <c r="H1111" i="1"/>
  <c r="I1111" i="1" s="1"/>
  <c r="N1110" i="1"/>
  <c r="O1110" i="1" s="1"/>
  <c r="N1109" i="1"/>
  <c r="O1109" i="1" s="1"/>
  <c r="P1109" i="1" s="1"/>
  <c r="K1109" i="1"/>
  <c r="H1109" i="1"/>
  <c r="I1109" i="1" s="1"/>
  <c r="N1108" i="1"/>
  <c r="O1108" i="1" s="1"/>
  <c r="P1108" i="1" s="1"/>
  <c r="K1108" i="1"/>
  <c r="H1108" i="1"/>
  <c r="I1108" i="1" s="1"/>
  <c r="N1107" i="1"/>
  <c r="O1107" i="1" s="1"/>
  <c r="P1107" i="1" s="1"/>
  <c r="N1106" i="1"/>
  <c r="O1106" i="1" s="1"/>
  <c r="P1106" i="1" s="1"/>
  <c r="K1106" i="1"/>
  <c r="H1106" i="1"/>
  <c r="I1106" i="1" s="1"/>
  <c r="N1105" i="1"/>
  <c r="O1105" i="1" s="1"/>
  <c r="P1105" i="1" s="1"/>
  <c r="K1105" i="1"/>
  <c r="H1105" i="1"/>
  <c r="I1105" i="1" s="1"/>
  <c r="N1104" i="1"/>
  <c r="O1104" i="1" s="1"/>
  <c r="P1104" i="1" s="1"/>
  <c r="N1103" i="1"/>
  <c r="O1103" i="1" s="1"/>
  <c r="P1103" i="1" s="1"/>
  <c r="K1103" i="1"/>
  <c r="H1103" i="1"/>
  <c r="I1103" i="1" s="1"/>
  <c r="N1102" i="1"/>
  <c r="O1102" i="1" s="1"/>
  <c r="P1102" i="1" s="1"/>
  <c r="K1102" i="1"/>
  <c r="H1102" i="1"/>
  <c r="I1102" i="1" s="1"/>
  <c r="N1101" i="1"/>
  <c r="O1101" i="1" s="1"/>
  <c r="N1100" i="1"/>
  <c r="O1100" i="1" s="1"/>
  <c r="N1099" i="1"/>
  <c r="O1099" i="1" s="1"/>
  <c r="N1098" i="1"/>
  <c r="O1098" i="1" s="1"/>
  <c r="P1098" i="1" s="1"/>
  <c r="K1098" i="1"/>
  <c r="H1098" i="1"/>
  <c r="I1098" i="1" s="1"/>
  <c r="N1097" i="1"/>
  <c r="O1097" i="1" s="1"/>
  <c r="P1097" i="1" s="1"/>
  <c r="K1097" i="1"/>
  <c r="H1097" i="1"/>
  <c r="I1097" i="1" s="1"/>
  <c r="O1096" i="1"/>
  <c r="N1095" i="1"/>
  <c r="O1095" i="1" s="1"/>
  <c r="O1094" i="1"/>
  <c r="N1093" i="1"/>
  <c r="O1093" i="1" s="1"/>
  <c r="H1093" i="1"/>
  <c r="N1092" i="1"/>
  <c r="O1092" i="1" s="1"/>
  <c r="P1092" i="1" s="1"/>
  <c r="K1092" i="1"/>
  <c r="H1092" i="1"/>
  <c r="I1092" i="1" s="1"/>
  <c r="N1091" i="1"/>
  <c r="O1091" i="1" s="1"/>
  <c r="P1091" i="1" s="1"/>
  <c r="K1091" i="1"/>
  <c r="H1091" i="1"/>
  <c r="I1091" i="1" s="1"/>
  <c r="N1090" i="1"/>
  <c r="O1090" i="1" s="1"/>
  <c r="P1090" i="1" s="1"/>
  <c r="N1089" i="1"/>
  <c r="O1089" i="1" s="1"/>
  <c r="P1089" i="1" s="1"/>
  <c r="K1089" i="1"/>
  <c r="H1089" i="1"/>
  <c r="I1089" i="1" s="1"/>
  <c r="N1088" i="1"/>
  <c r="O1088" i="1" s="1"/>
  <c r="P1088" i="1" s="1"/>
  <c r="K1088" i="1"/>
  <c r="H1088" i="1"/>
  <c r="I1088" i="1" s="1"/>
  <c r="N1087" i="1"/>
  <c r="O1087" i="1" s="1"/>
  <c r="P1087" i="1" s="1"/>
  <c r="K1087" i="1"/>
  <c r="H1087" i="1"/>
  <c r="I1087" i="1" s="1"/>
  <c r="N1086" i="1"/>
  <c r="O1086" i="1" s="1"/>
  <c r="P1086" i="1" s="1"/>
  <c r="K1086" i="1"/>
  <c r="H1086" i="1"/>
  <c r="I1086" i="1" s="1"/>
  <c r="N1082" i="1"/>
  <c r="O1082" i="1" s="1"/>
  <c r="P1082" i="1" s="1"/>
  <c r="K1082" i="1"/>
  <c r="H1082" i="1"/>
  <c r="I1082" i="1" s="1"/>
  <c r="N1081" i="1"/>
  <c r="O1081" i="1" s="1"/>
  <c r="P1081" i="1" s="1"/>
  <c r="K1081" i="1"/>
  <c r="H1081" i="1"/>
  <c r="I1081" i="1" s="1"/>
  <c r="N1080" i="1"/>
  <c r="O1080" i="1" s="1"/>
  <c r="P1080" i="1" s="1"/>
  <c r="K1080" i="1"/>
  <c r="H1080" i="1"/>
  <c r="I1080" i="1" s="1"/>
  <c r="N1079" i="1"/>
  <c r="O1079" i="1" s="1"/>
  <c r="N1078" i="1"/>
  <c r="O1078" i="1" s="1"/>
  <c r="P1078" i="1" s="1"/>
  <c r="N1077" i="1"/>
  <c r="O1077" i="1" s="1"/>
  <c r="P1077" i="1" s="1"/>
  <c r="K1077" i="1"/>
  <c r="H1077" i="1"/>
  <c r="I1077" i="1" s="1"/>
  <c r="N1076" i="1"/>
  <c r="O1076" i="1" s="1"/>
  <c r="P1076" i="1" s="1"/>
  <c r="K1076" i="1"/>
  <c r="H1076" i="1"/>
  <c r="I1076" i="1" s="1"/>
  <c r="N1072" i="1"/>
  <c r="O1072" i="1" s="1"/>
  <c r="P1072" i="1" s="1"/>
  <c r="K1072" i="1"/>
  <c r="H1072" i="1"/>
  <c r="I1072" i="1" s="1"/>
  <c r="N1069" i="1"/>
  <c r="O1069" i="1" s="1"/>
  <c r="N1068" i="1"/>
  <c r="O1068" i="1" s="1"/>
  <c r="P1068" i="1" s="1"/>
  <c r="K1068" i="1"/>
  <c r="H1068" i="1"/>
  <c r="I1068" i="1" s="1"/>
  <c r="N1067" i="1"/>
  <c r="O1067" i="1" s="1"/>
  <c r="P1067" i="1" s="1"/>
  <c r="K1067" i="1"/>
  <c r="H1067" i="1"/>
  <c r="I1067" i="1" s="1"/>
  <c r="N1066" i="1"/>
  <c r="O1066" i="1" s="1"/>
  <c r="P1066" i="1" s="1"/>
  <c r="H1066" i="1"/>
  <c r="I1066" i="1" s="1"/>
  <c r="N1065" i="1"/>
  <c r="O1065" i="1" s="1"/>
  <c r="P1065" i="1" s="1"/>
  <c r="H1065" i="1"/>
  <c r="I1065" i="1" s="1"/>
  <c r="N1064" i="1"/>
  <c r="O1064" i="1" s="1"/>
  <c r="P1064" i="1" s="1"/>
  <c r="H1064" i="1"/>
  <c r="I1064" i="1" s="1"/>
  <c r="N1063" i="1"/>
  <c r="O1063" i="1" s="1"/>
  <c r="P1063" i="1" s="1"/>
  <c r="K1063" i="1"/>
  <c r="H1063" i="1"/>
  <c r="I1063" i="1" s="1"/>
  <c r="N1062" i="1"/>
  <c r="O1062" i="1" s="1"/>
  <c r="P1062" i="1" s="1"/>
  <c r="K1062" i="1"/>
  <c r="H1062" i="1"/>
  <c r="I1062" i="1" s="1"/>
  <c r="N1061" i="1"/>
  <c r="O1061" i="1" s="1"/>
  <c r="P1061" i="1" s="1"/>
  <c r="N1060" i="1"/>
  <c r="O1060" i="1" s="1"/>
  <c r="P1060" i="1" s="1"/>
  <c r="N1059" i="1"/>
  <c r="O1059" i="1" s="1"/>
  <c r="P1059" i="1" s="1"/>
  <c r="N1058" i="1"/>
  <c r="O1058" i="1" s="1"/>
  <c r="P1058" i="1" s="1"/>
  <c r="N1057" i="1"/>
  <c r="O1057" i="1" s="1"/>
  <c r="P1057" i="1" s="1"/>
  <c r="N1056" i="1"/>
  <c r="O1056" i="1" s="1"/>
  <c r="P1056" i="1" s="1"/>
  <c r="N1055" i="1"/>
  <c r="O1055" i="1" s="1"/>
  <c r="P1055" i="1" s="1"/>
  <c r="K1055" i="1"/>
  <c r="H1055" i="1"/>
  <c r="I1055" i="1" s="1"/>
  <c r="N1054" i="1"/>
  <c r="O1054" i="1" s="1"/>
  <c r="P1054" i="1" s="1"/>
  <c r="K1054" i="1"/>
  <c r="H1054" i="1"/>
  <c r="I1054" i="1" s="1"/>
  <c r="N1053" i="1"/>
  <c r="O1053" i="1" s="1"/>
  <c r="H1053" i="1"/>
  <c r="N1052" i="1"/>
  <c r="O1052" i="1" s="1"/>
  <c r="P1052" i="1" s="1"/>
  <c r="N1051" i="1"/>
  <c r="O1051" i="1" s="1"/>
  <c r="P1051" i="1" s="1"/>
  <c r="N1050" i="1"/>
  <c r="O1050" i="1" s="1"/>
  <c r="P1050" i="1" s="1"/>
  <c r="K1050" i="1"/>
  <c r="H1050" i="1"/>
  <c r="I1050" i="1" s="1"/>
  <c r="N1049" i="1"/>
  <c r="O1049" i="1" s="1"/>
  <c r="P1049" i="1" s="1"/>
  <c r="K1049" i="1"/>
  <c r="H1049" i="1"/>
  <c r="I1049" i="1" s="1"/>
  <c r="N1048" i="1"/>
  <c r="O1048" i="1" s="1"/>
  <c r="P1048" i="1" s="1"/>
  <c r="N1047" i="1"/>
  <c r="O1047" i="1" s="1"/>
  <c r="P1047" i="1" s="1"/>
  <c r="K1047" i="1"/>
  <c r="H1047" i="1"/>
  <c r="I1047" i="1" s="1"/>
  <c r="N1046" i="1"/>
  <c r="O1046" i="1" s="1"/>
  <c r="P1046" i="1" s="1"/>
  <c r="K1046" i="1"/>
  <c r="H1046" i="1"/>
  <c r="I1046" i="1" s="1"/>
  <c r="N1045" i="1"/>
  <c r="O1045" i="1" s="1"/>
  <c r="P1045" i="1" s="1"/>
  <c r="N1044" i="1"/>
  <c r="O1044" i="1" s="1"/>
  <c r="P1044" i="1" s="1"/>
  <c r="K1044" i="1"/>
  <c r="H1044" i="1"/>
  <c r="I1044" i="1" s="1"/>
  <c r="N1043" i="1"/>
  <c r="O1043" i="1" s="1"/>
  <c r="P1043" i="1" s="1"/>
  <c r="K1043" i="1"/>
  <c r="H1043" i="1"/>
  <c r="I1043" i="1" s="1"/>
  <c r="N1042" i="1"/>
  <c r="O1042" i="1" s="1"/>
  <c r="H1042" i="1"/>
  <c r="N1041" i="1"/>
  <c r="O1041" i="1" s="1"/>
  <c r="P1041" i="1" s="1"/>
  <c r="N1040" i="1"/>
  <c r="O1040" i="1" s="1"/>
  <c r="P1040" i="1" s="1"/>
  <c r="K1040" i="1"/>
  <c r="H1040" i="1"/>
  <c r="I1040" i="1" s="1"/>
  <c r="N1039" i="1"/>
  <c r="O1039" i="1" s="1"/>
  <c r="P1039" i="1" s="1"/>
  <c r="K1039" i="1"/>
  <c r="H1039" i="1"/>
  <c r="I1039" i="1" s="1"/>
  <c r="N1038" i="1"/>
  <c r="O1038" i="1" s="1"/>
  <c r="P1038" i="1" s="1"/>
  <c r="N1037" i="1"/>
  <c r="O1037" i="1" s="1"/>
  <c r="P1037" i="1" s="1"/>
  <c r="N1036" i="1"/>
  <c r="O1036" i="1" s="1"/>
  <c r="P1036" i="1" s="1"/>
  <c r="N1035" i="1"/>
  <c r="O1035" i="1" s="1"/>
  <c r="P1035" i="1" s="1"/>
  <c r="K1035" i="1"/>
  <c r="H1035" i="1"/>
  <c r="I1035" i="1" s="1"/>
  <c r="N1034" i="1"/>
  <c r="O1034" i="1" s="1"/>
  <c r="P1034" i="1" s="1"/>
  <c r="K1034" i="1"/>
  <c r="H1034" i="1"/>
  <c r="I1034" i="1" s="1"/>
  <c r="N1032" i="1"/>
  <c r="O1032" i="1" s="1"/>
  <c r="P1032" i="1" s="1"/>
  <c r="K1032" i="1"/>
  <c r="H1032" i="1"/>
  <c r="I1032" i="1" s="1"/>
  <c r="N1031" i="1"/>
  <c r="O1031" i="1" s="1"/>
  <c r="P1031" i="1" s="1"/>
  <c r="N1030" i="1"/>
  <c r="O1030" i="1" s="1"/>
  <c r="P1030" i="1" s="1"/>
  <c r="K1030" i="1"/>
  <c r="H1030" i="1"/>
  <c r="I1030" i="1" s="1"/>
  <c r="N1029" i="1"/>
  <c r="O1029" i="1" s="1"/>
  <c r="P1029" i="1" s="1"/>
  <c r="K1029" i="1"/>
  <c r="H1029" i="1"/>
  <c r="I1029" i="1" s="1"/>
  <c r="N1028" i="1"/>
  <c r="O1028" i="1" s="1"/>
  <c r="N1027" i="1"/>
  <c r="O1027" i="1" s="1"/>
  <c r="P1027" i="1" s="1"/>
  <c r="K1027" i="1"/>
  <c r="H1027" i="1"/>
  <c r="I1027" i="1" s="1"/>
  <c r="N1026" i="1"/>
  <c r="O1026" i="1" s="1"/>
  <c r="P1026" i="1" s="1"/>
  <c r="K1026" i="1"/>
  <c r="H1026" i="1"/>
  <c r="I1026" i="1" s="1"/>
  <c r="N1025" i="1"/>
  <c r="O1025" i="1" s="1"/>
  <c r="P1025" i="1" s="1"/>
  <c r="N1024" i="1"/>
  <c r="O1024" i="1" s="1"/>
  <c r="P1024" i="1" s="1"/>
  <c r="K1024" i="1"/>
  <c r="H1024" i="1"/>
  <c r="I1024" i="1" s="1"/>
  <c r="N1023" i="1"/>
  <c r="O1023" i="1" s="1"/>
  <c r="P1023" i="1" s="1"/>
  <c r="K1023" i="1"/>
  <c r="H1023" i="1"/>
  <c r="I1023" i="1" s="1"/>
  <c r="N1021" i="1"/>
  <c r="O1021" i="1" s="1"/>
  <c r="P1021" i="1" s="1"/>
  <c r="K1021" i="1"/>
  <c r="H1021" i="1"/>
  <c r="I1021" i="1" s="1"/>
  <c r="N1020" i="1"/>
  <c r="O1020" i="1" s="1"/>
  <c r="P1020" i="1" s="1"/>
  <c r="N1019" i="1"/>
  <c r="O1019" i="1" s="1"/>
  <c r="P1019" i="1" s="1"/>
  <c r="N1018" i="1"/>
  <c r="O1018" i="1" s="1"/>
  <c r="P1018" i="1" s="1"/>
  <c r="K1018" i="1"/>
  <c r="H1018" i="1"/>
  <c r="I1018" i="1" s="1"/>
  <c r="N1017" i="1"/>
  <c r="O1017" i="1" s="1"/>
  <c r="P1017" i="1" s="1"/>
  <c r="K1017" i="1"/>
  <c r="H1017" i="1"/>
  <c r="I1017" i="1" s="1"/>
  <c r="N1016" i="1"/>
  <c r="O1016" i="1" s="1"/>
  <c r="P1016" i="1" s="1"/>
  <c r="N1015" i="1"/>
  <c r="O1015" i="1" s="1"/>
  <c r="P1015" i="1" s="1"/>
  <c r="K1015" i="1"/>
  <c r="H1015" i="1"/>
  <c r="I1015" i="1" s="1"/>
  <c r="N1014" i="1"/>
  <c r="O1014" i="1" s="1"/>
  <c r="P1014" i="1" s="1"/>
  <c r="K1014" i="1"/>
  <c r="H1014" i="1"/>
  <c r="I1014" i="1" s="1"/>
  <c r="N1013" i="1"/>
  <c r="O1013" i="1" s="1"/>
  <c r="P1013" i="1" s="1"/>
  <c r="K1013" i="1"/>
  <c r="H1013" i="1"/>
  <c r="I1013" i="1" s="1"/>
  <c r="N1012" i="1"/>
  <c r="O1012" i="1" s="1"/>
  <c r="P1012" i="1" s="1"/>
  <c r="K1012" i="1"/>
  <c r="H1012" i="1"/>
  <c r="I1012" i="1" s="1"/>
  <c r="N1011" i="1"/>
  <c r="O1011" i="1" s="1"/>
  <c r="P1011" i="1" s="1"/>
  <c r="K1011" i="1"/>
  <c r="H1011" i="1"/>
  <c r="I1011" i="1" s="1"/>
  <c r="N1010" i="1"/>
  <c r="O1010" i="1" s="1"/>
  <c r="P1010" i="1" s="1"/>
  <c r="K1010" i="1"/>
  <c r="H1010" i="1"/>
  <c r="I1010" i="1" s="1"/>
  <c r="N1009" i="1"/>
  <c r="O1009" i="1" s="1"/>
  <c r="P1009" i="1" s="1"/>
  <c r="K1009" i="1"/>
  <c r="H1009" i="1"/>
  <c r="I1009" i="1" s="1"/>
  <c r="N1008" i="1"/>
  <c r="O1008" i="1" s="1"/>
  <c r="P1008" i="1" s="1"/>
  <c r="K1008" i="1"/>
  <c r="H1008" i="1"/>
  <c r="I1008" i="1" s="1"/>
  <c r="N1007" i="1"/>
  <c r="O1007" i="1" s="1"/>
  <c r="P1007" i="1" s="1"/>
  <c r="K1007" i="1"/>
  <c r="H1007" i="1"/>
  <c r="I1007" i="1" s="1"/>
  <c r="N1006" i="1"/>
  <c r="O1006" i="1" s="1"/>
  <c r="P1006" i="1" s="1"/>
  <c r="N1005" i="1"/>
  <c r="O1005" i="1" s="1"/>
  <c r="P1005" i="1" s="1"/>
  <c r="K1005" i="1"/>
  <c r="H1005" i="1"/>
  <c r="I1005" i="1" s="1"/>
  <c r="N1004" i="1"/>
  <c r="O1004" i="1" s="1"/>
  <c r="P1004" i="1" s="1"/>
  <c r="K1004" i="1"/>
  <c r="H1004" i="1"/>
  <c r="I1004" i="1" s="1"/>
  <c r="N1003" i="1"/>
  <c r="O1003" i="1" s="1"/>
  <c r="P1003" i="1" s="1"/>
  <c r="K1003" i="1"/>
  <c r="H1003" i="1"/>
  <c r="I1003" i="1" s="1"/>
  <c r="N1002" i="1"/>
  <c r="O1002" i="1" s="1"/>
  <c r="P1002" i="1" s="1"/>
  <c r="K1002" i="1"/>
  <c r="H1002" i="1"/>
  <c r="I1002" i="1" s="1"/>
  <c r="N1001" i="1"/>
  <c r="O1001" i="1" s="1"/>
  <c r="P1001" i="1" s="1"/>
  <c r="K1001" i="1"/>
  <c r="H1001" i="1"/>
  <c r="I1001" i="1" s="1"/>
  <c r="N1000" i="1"/>
  <c r="O1000" i="1" s="1"/>
  <c r="P1000" i="1" s="1"/>
  <c r="K1000" i="1"/>
  <c r="H1000" i="1"/>
  <c r="I1000" i="1" s="1"/>
  <c r="N999" i="1"/>
  <c r="O999" i="1" s="1"/>
  <c r="P999" i="1" s="1"/>
  <c r="K999" i="1"/>
  <c r="H999" i="1"/>
  <c r="I999" i="1" s="1"/>
  <c r="N998" i="1"/>
  <c r="O998" i="1" s="1"/>
  <c r="P998" i="1" s="1"/>
  <c r="K998" i="1"/>
  <c r="H998" i="1"/>
  <c r="I998" i="1" s="1"/>
  <c r="N997" i="1"/>
  <c r="O997" i="1" s="1"/>
  <c r="P997" i="1" s="1"/>
  <c r="K997" i="1"/>
  <c r="H997" i="1"/>
  <c r="I997" i="1" s="1"/>
  <c r="N996" i="1"/>
  <c r="O996" i="1" s="1"/>
  <c r="P996" i="1" s="1"/>
  <c r="K996" i="1"/>
  <c r="H996" i="1"/>
  <c r="I996" i="1" s="1"/>
  <c r="N995" i="1"/>
  <c r="O995" i="1" s="1"/>
  <c r="P995" i="1" s="1"/>
  <c r="K995" i="1"/>
  <c r="H995" i="1"/>
  <c r="I995" i="1" s="1"/>
  <c r="N994" i="1"/>
  <c r="O994" i="1" s="1"/>
  <c r="P994" i="1" s="1"/>
  <c r="K994" i="1"/>
  <c r="H994" i="1"/>
  <c r="I994" i="1" s="1"/>
  <c r="N993" i="1"/>
  <c r="O993" i="1" s="1"/>
  <c r="P993" i="1" s="1"/>
  <c r="N992" i="1"/>
  <c r="O992" i="1" s="1"/>
  <c r="P992" i="1" s="1"/>
  <c r="K992" i="1"/>
  <c r="H992" i="1"/>
  <c r="I992" i="1" s="1"/>
  <c r="N991" i="1"/>
  <c r="O991" i="1" s="1"/>
  <c r="P991" i="1" s="1"/>
  <c r="K991" i="1"/>
  <c r="H991" i="1"/>
  <c r="I991" i="1" s="1"/>
  <c r="N990" i="1"/>
  <c r="O990" i="1" s="1"/>
  <c r="P990" i="1" s="1"/>
  <c r="K990" i="1"/>
  <c r="H990" i="1"/>
  <c r="I990" i="1" s="1"/>
  <c r="N989" i="1"/>
  <c r="O989" i="1" s="1"/>
  <c r="P989" i="1" s="1"/>
  <c r="N988" i="1"/>
  <c r="O988" i="1" s="1"/>
  <c r="P988" i="1" s="1"/>
  <c r="Q988" i="1" s="1"/>
  <c r="R988" i="1" s="1"/>
  <c r="N987" i="1"/>
  <c r="O987" i="1" s="1"/>
  <c r="P987" i="1" s="1"/>
  <c r="N986" i="1"/>
  <c r="O986" i="1" s="1"/>
  <c r="P986" i="1" s="1"/>
  <c r="N985" i="1"/>
  <c r="O985" i="1" s="1"/>
  <c r="P985" i="1" s="1"/>
  <c r="K985" i="1"/>
  <c r="H985" i="1"/>
  <c r="I985" i="1" s="1"/>
  <c r="N984" i="1"/>
  <c r="O984" i="1" s="1"/>
  <c r="P984" i="1" s="1"/>
  <c r="K984" i="1"/>
  <c r="H984" i="1"/>
  <c r="I984" i="1" s="1"/>
  <c r="N983" i="1"/>
  <c r="O983" i="1" s="1"/>
  <c r="P983" i="1" s="1"/>
  <c r="K983" i="1"/>
  <c r="H983" i="1"/>
  <c r="I983" i="1" s="1"/>
  <c r="N982" i="1"/>
  <c r="O982" i="1" s="1"/>
  <c r="P982" i="1" s="1"/>
  <c r="K982" i="1"/>
  <c r="H982" i="1"/>
  <c r="I982" i="1" s="1"/>
  <c r="N981" i="1"/>
  <c r="O981" i="1" s="1"/>
  <c r="P981" i="1" s="1"/>
  <c r="K981" i="1"/>
  <c r="H981" i="1"/>
  <c r="I981" i="1" s="1"/>
  <c r="N980" i="1"/>
  <c r="O980" i="1" s="1"/>
  <c r="P980" i="1" s="1"/>
  <c r="K980" i="1"/>
  <c r="H980" i="1"/>
  <c r="I980" i="1" s="1"/>
  <c r="N979" i="1"/>
  <c r="O979" i="1" s="1"/>
  <c r="P979" i="1" s="1"/>
  <c r="K979" i="1"/>
  <c r="H979" i="1"/>
  <c r="I979" i="1" s="1"/>
  <c r="N978" i="1"/>
  <c r="O978" i="1" s="1"/>
  <c r="P978" i="1" s="1"/>
  <c r="N977" i="1"/>
  <c r="O977" i="1" s="1"/>
  <c r="P977" i="1" s="1"/>
  <c r="K977" i="1"/>
  <c r="H977" i="1"/>
  <c r="I977" i="1" s="1"/>
  <c r="N976" i="1"/>
  <c r="O976" i="1" s="1"/>
  <c r="P976" i="1" s="1"/>
  <c r="K976" i="1"/>
  <c r="H976" i="1"/>
  <c r="I976" i="1" s="1"/>
  <c r="N975" i="1"/>
  <c r="O975" i="1" s="1"/>
  <c r="P975" i="1" s="1"/>
  <c r="N974" i="1"/>
  <c r="O974" i="1" s="1"/>
  <c r="P974" i="1" s="1"/>
  <c r="K974" i="1"/>
  <c r="H974" i="1"/>
  <c r="I974" i="1" s="1"/>
  <c r="N973" i="1"/>
  <c r="O973" i="1" s="1"/>
  <c r="P973" i="1" s="1"/>
  <c r="K973" i="1"/>
  <c r="H973" i="1"/>
  <c r="I973" i="1" s="1"/>
  <c r="N972" i="1"/>
  <c r="O972" i="1" s="1"/>
  <c r="P972" i="1" s="1"/>
  <c r="K972" i="1"/>
  <c r="H972" i="1"/>
  <c r="I972" i="1" s="1"/>
  <c r="N971" i="1"/>
  <c r="O971" i="1" s="1"/>
  <c r="P971" i="1" s="1"/>
  <c r="K971" i="1"/>
  <c r="H971" i="1"/>
  <c r="I971" i="1" s="1"/>
  <c r="N969" i="1"/>
  <c r="O969" i="1" s="1"/>
  <c r="P969" i="1" s="1"/>
  <c r="K969" i="1"/>
  <c r="H969" i="1"/>
  <c r="I969" i="1" s="1"/>
  <c r="N968" i="1"/>
  <c r="O968" i="1" s="1"/>
  <c r="P968" i="1" s="1"/>
  <c r="N967" i="1"/>
  <c r="O967" i="1" s="1"/>
  <c r="P967" i="1" s="1"/>
  <c r="N966" i="1"/>
  <c r="O966" i="1" s="1"/>
  <c r="P966" i="1" s="1"/>
  <c r="K966" i="1"/>
  <c r="H966" i="1"/>
  <c r="I966" i="1" s="1"/>
  <c r="N965" i="1"/>
  <c r="O965" i="1" s="1"/>
  <c r="P965" i="1" s="1"/>
  <c r="K965" i="1"/>
  <c r="H965" i="1"/>
  <c r="I965" i="1" s="1"/>
  <c r="N964" i="1"/>
  <c r="O964" i="1" s="1"/>
  <c r="P964" i="1" s="1"/>
  <c r="K964" i="1"/>
  <c r="H964" i="1"/>
  <c r="I964" i="1" s="1"/>
  <c r="N963" i="1"/>
  <c r="O963" i="1" s="1"/>
  <c r="P963" i="1" s="1"/>
  <c r="K963" i="1"/>
  <c r="H963" i="1"/>
  <c r="I963" i="1" s="1"/>
  <c r="N962" i="1"/>
  <c r="O962" i="1" s="1"/>
  <c r="P962" i="1" s="1"/>
  <c r="K962" i="1"/>
  <c r="H962" i="1"/>
  <c r="I962" i="1" s="1"/>
  <c r="N961" i="1"/>
  <c r="O961" i="1" s="1"/>
  <c r="P961" i="1" s="1"/>
  <c r="K961" i="1"/>
  <c r="H961" i="1"/>
  <c r="I961" i="1" s="1"/>
  <c r="N960" i="1"/>
  <c r="O960" i="1" s="1"/>
  <c r="P960" i="1" s="1"/>
  <c r="K960" i="1"/>
  <c r="H960" i="1"/>
  <c r="I960" i="1" s="1"/>
  <c r="N959" i="1"/>
  <c r="O959" i="1" s="1"/>
  <c r="P959" i="1" s="1"/>
  <c r="K959" i="1"/>
  <c r="H959" i="1"/>
  <c r="I959" i="1" s="1"/>
  <c r="N958" i="1"/>
  <c r="O958" i="1" s="1"/>
  <c r="P958" i="1" s="1"/>
  <c r="K958" i="1"/>
  <c r="H958" i="1"/>
  <c r="I958" i="1" s="1"/>
  <c r="N957" i="1"/>
  <c r="O957" i="1" s="1"/>
  <c r="P957" i="1" s="1"/>
  <c r="K957" i="1"/>
  <c r="H957" i="1"/>
  <c r="I957" i="1" s="1"/>
  <c r="N956" i="1"/>
  <c r="O956" i="1" s="1"/>
  <c r="P956" i="1" s="1"/>
  <c r="K956" i="1"/>
  <c r="H956" i="1"/>
  <c r="I956" i="1" s="1"/>
  <c r="N955" i="1"/>
  <c r="O955" i="1" s="1"/>
  <c r="P955" i="1" s="1"/>
  <c r="N954" i="1"/>
  <c r="O954" i="1" s="1"/>
  <c r="P954" i="1" s="1"/>
  <c r="K954" i="1"/>
  <c r="H954" i="1"/>
  <c r="I954" i="1" s="1"/>
  <c r="N953" i="1"/>
  <c r="O953" i="1" s="1"/>
  <c r="P953" i="1" s="1"/>
  <c r="K953" i="1"/>
  <c r="H953" i="1"/>
  <c r="I953" i="1" s="1"/>
  <c r="N952" i="1"/>
  <c r="O952" i="1" s="1"/>
  <c r="P952" i="1" s="1"/>
  <c r="K952" i="1"/>
  <c r="H952" i="1"/>
  <c r="I952" i="1" s="1"/>
  <c r="N951" i="1"/>
  <c r="O951" i="1" s="1"/>
  <c r="P951" i="1" s="1"/>
  <c r="K951" i="1"/>
  <c r="H951" i="1"/>
  <c r="I951" i="1" s="1"/>
  <c r="N950" i="1"/>
  <c r="O950" i="1" s="1"/>
  <c r="P950" i="1" s="1"/>
  <c r="K950" i="1"/>
  <c r="H950" i="1"/>
  <c r="I950" i="1" s="1"/>
  <c r="N949" i="1"/>
  <c r="O949" i="1" s="1"/>
  <c r="P949" i="1" s="1"/>
  <c r="K949" i="1"/>
  <c r="H949" i="1"/>
  <c r="I949" i="1" s="1"/>
  <c r="N948" i="1"/>
  <c r="O948" i="1" s="1"/>
  <c r="P948" i="1" s="1"/>
  <c r="K948" i="1"/>
  <c r="H948" i="1"/>
  <c r="I948" i="1" s="1"/>
  <c r="N947" i="1"/>
  <c r="O947" i="1" s="1"/>
  <c r="P947" i="1" s="1"/>
  <c r="K947" i="1"/>
  <c r="H947" i="1"/>
  <c r="I947" i="1" s="1"/>
  <c r="N946" i="1"/>
  <c r="O946" i="1" s="1"/>
  <c r="P946" i="1" s="1"/>
  <c r="K946" i="1"/>
  <c r="H946" i="1"/>
  <c r="I946" i="1" s="1"/>
  <c r="N945" i="1"/>
  <c r="O945" i="1" s="1"/>
  <c r="P945" i="1" s="1"/>
  <c r="K945" i="1"/>
  <c r="H945" i="1"/>
  <c r="I945" i="1" s="1"/>
  <c r="N944" i="1"/>
  <c r="O944" i="1" s="1"/>
  <c r="P944" i="1" s="1"/>
  <c r="K944" i="1"/>
  <c r="H944" i="1"/>
  <c r="I944" i="1" s="1"/>
  <c r="N943" i="1"/>
  <c r="O943" i="1" s="1"/>
  <c r="P943" i="1" s="1"/>
  <c r="K943" i="1"/>
  <c r="H943" i="1"/>
  <c r="I943" i="1" s="1"/>
  <c r="N942" i="1"/>
  <c r="O942" i="1" s="1"/>
  <c r="P942" i="1" s="1"/>
  <c r="K942" i="1"/>
  <c r="H942" i="1"/>
  <c r="I942" i="1" s="1"/>
  <c r="N941" i="1"/>
  <c r="O941" i="1" s="1"/>
  <c r="P941" i="1" s="1"/>
  <c r="K941" i="1"/>
  <c r="H941" i="1"/>
  <c r="I941" i="1" s="1"/>
  <c r="N940" i="1"/>
  <c r="O940" i="1" s="1"/>
  <c r="P940" i="1" s="1"/>
  <c r="K940" i="1"/>
  <c r="H940" i="1"/>
  <c r="I940" i="1" s="1"/>
  <c r="N939" i="1"/>
  <c r="O939" i="1" s="1"/>
  <c r="P939" i="1" s="1"/>
  <c r="K939" i="1"/>
  <c r="H939" i="1"/>
  <c r="I939" i="1" s="1"/>
  <c r="N938" i="1"/>
  <c r="O938" i="1" s="1"/>
  <c r="P938" i="1" s="1"/>
  <c r="N937" i="1"/>
  <c r="O937" i="1" s="1"/>
  <c r="P937" i="1" s="1"/>
  <c r="N936" i="1"/>
  <c r="O936" i="1" s="1"/>
  <c r="P936" i="1" s="1"/>
  <c r="K936" i="1"/>
  <c r="H936" i="1"/>
  <c r="I936" i="1" s="1"/>
  <c r="N935" i="1"/>
  <c r="O935" i="1" s="1"/>
  <c r="P935" i="1" s="1"/>
  <c r="K935" i="1"/>
  <c r="H935" i="1"/>
  <c r="I935" i="1" s="1"/>
  <c r="N934" i="1"/>
  <c r="O934" i="1" s="1"/>
  <c r="P934" i="1" s="1"/>
  <c r="N933" i="1"/>
  <c r="O933" i="1" s="1"/>
  <c r="P933" i="1" s="1"/>
  <c r="N932" i="1"/>
  <c r="O932" i="1" s="1"/>
  <c r="P932" i="1" s="1"/>
  <c r="N931" i="1"/>
  <c r="O931" i="1" s="1"/>
  <c r="P931" i="1" s="1"/>
  <c r="N930" i="1"/>
  <c r="O930" i="1" s="1"/>
  <c r="P930" i="1" s="1"/>
  <c r="N929" i="1"/>
  <c r="O929" i="1" s="1"/>
  <c r="P929" i="1" s="1"/>
  <c r="K929" i="1"/>
  <c r="H929" i="1"/>
  <c r="I929" i="1" s="1"/>
  <c r="N928" i="1"/>
  <c r="O928" i="1" s="1"/>
  <c r="P928" i="1" s="1"/>
  <c r="K928" i="1"/>
  <c r="H928" i="1"/>
  <c r="I928" i="1" s="1"/>
  <c r="N927" i="1"/>
  <c r="O927" i="1" s="1"/>
  <c r="P927" i="1" s="1"/>
  <c r="N926" i="1"/>
  <c r="O926" i="1" s="1"/>
  <c r="P926" i="1" s="1"/>
  <c r="N925" i="1"/>
  <c r="O925" i="1" s="1"/>
  <c r="P925" i="1" s="1"/>
  <c r="N924" i="1"/>
  <c r="O924" i="1" s="1"/>
  <c r="P924" i="1" s="1"/>
  <c r="K924" i="1"/>
  <c r="H924" i="1"/>
  <c r="I924" i="1" s="1"/>
  <c r="N923" i="1"/>
  <c r="O923" i="1" s="1"/>
  <c r="P923" i="1" s="1"/>
  <c r="K923" i="1"/>
  <c r="H923" i="1"/>
  <c r="I923" i="1" s="1"/>
  <c r="N922" i="1"/>
  <c r="O922" i="1" s="1"/>
  <c r="P922" i="1" s="1"/>
  <c r="K922" i="1"/>
  <c r="H922" i="1"/>
  <c r="I922" i="1" s="1"/>
  <c r="N921" i="1"/>
  <c r="O921" i="1" s="1"/>
  <c r="P921" i="1" s="1"/>
  <c r="K921" i="1"/>
  <c r="H921" i="1"/>
  <c r="I921" i="1" s="1"/>
  <c r="N920" i="1"/>
  <c r="O920" i="1" s="1"/>
  <c r="P920" i="1" s="1"/>
  <c r="K920" i="1"/>
  <c r="H920" i="1"/>
  <c r="I920" i="1" s="1"/>
  <c r="N919" i="1"/>
  <c r="O919" i="1" s="1"/>
  <c r="P919" i="1" s="1"/>
  <c r="K919" i="1"/>
  <c r="H919" i="1"/>
  <c r="I919" i="1" s="1"/>
  <c r="N918" i="1"/>
  <c r="O918" i="1" s="1"/>
  <c r="P918" i="1" s="1"/>
  <c r="K918" i="1"/>
  <c r="H918" i="1"/>
  <c r="I918" i="1" s="1"/>
  <c r="N917" i="1"/>
  <c r="O917" i="1" s="1"/>
  <c r="P917" i="1" s="1"/>
  <c r="N916" i="1"/>
  <c r="O916" i="1" s="1"/>
  <c r="P916" i="1" s="1"/>
  <c r="N915" i="1"/>
  <c r="O915" i="1" s="1"/>
  <c r="P915" i="1" s="1"/>
  <c r="N914" i="1"/>
  <c r="O914" i="1" s="1"/>
  <c r="P914" i="1" s="1"/>
  <c r="K914" i="1"/>
  <c r="H914" i="1"/>
  <c r="I914" i="1" s="1"/>
  <c r="N913" i="1"/>
  <c r="O913" i="1" s="1"/>
  <c r="P913" i="1" s="1"/>
  <c r="K913" i="1"/>
  <c r="H913" i="1"/>
  <c r="I913" i="1" s="1"/>
  <c r="N912" i="1"/>
  <c r="O912" i="1" s="1"/>
  <c r="P912" i="1" s="1"/>
  <c r="N911" i="1"/>
  <c r="O911" i="1" s="1"/>
  <c r="P911" i="1" s="1"/>
  <c r="N910" i="1"/>
  <c r="O910" i="1" s="1"/>
  <c r="P910" i="1" s="1"/>
  <c r="N909" i="1"/>
  <c r="O909" i="1" s="1"/>
  <c r="P909" i="1" s="1"/>
  <c r="K909" i="1"/>
  <c r="H909" i="1"/>
  <c r="I909" i="1" s="1"/>
  <c r="N908" i="1"/>
  <c r="O908" i="1" s="1"/>
  <c r="P908" i="1" s="1"/>
  <c r="K908" i="1"/>
  <c r="H908" i="1"/>
  <c r="I908" i="1" s="1"/>
  <c r="N907" i="1"/>
  <c r="O907" i="1" s="1"/>
  <c r="P907" i="1" s="1"/>
  <c r="N906" i="1"/>
  <c r="O906" i="1" s="1"/>
  <c r="P906" i="1" s="1"/>
  <c r="Q906" i="1" s="1"/>
  <c r="R906" i="1" s="1"/>
  <c r="N905" i="1"/>
  <c r="O905" i="1" s="1"/>
  <c r="P905" i="1" s="1"/>
  <c r="N904" i="1"/>
  <c r="O904" i="1" s="1"/>
  <c r="P904" i="1" s="1"/>
  <c r="K904" i="1"/>
  <c r="H904" i="1"/>
  <c r="I904" i="1" s="1"/>
  <c r="N903" i="1"/>
  <c r="O903" i="1" s="1"/>
  <c r="P903" i="1" s="1"/>
  <c r="K903" i="1"/>
  <c r="H903" i="1"/>
  <c r="I903" i="1" s="1"/>
  <c r="O902" i="1"/>
  <c r="P902" i="1" s="1"/>
  <c r="N898" i="1"/>
  <c r="O898" i="1" s="1"/>
  <c r="P898" i="1" s="1"/>
  <c r="O897" i="1"/>
  <c r="P897" i="1" s="1"/>
  <c r="Q897" i="1" s="1"/>
  <c r="R897" i="1" s="1"/>
  <c r="N896" i="1"/>
  <c r="O896" i="1" s="1"/>
  <c r="P896" i="1" s="1"/>
  <c r="Q896" i="1" s="1"/>
  <c r="R896" i="1" s="1"/>
  <c r="O895" i="1"/>
  <c r="P895" i="1" s="1"/>
  <c r="N894" i="1"/>
  <c r="O894" i="1" s="1"/>
  <c r="P894" i="1" s="1"/>
  <c r="N893" i="1"/>
  <c r="O893" i="1" s="1"/>
  <c r="P893" i="1" s="1"/>
  <c r="N892" i="1"/>
  <c r="O892" i="1" s="1"/>
  <c r="P892" i="1" s="1"/>
  <c r="O891" i="1"/>
  <c r="P891" i="1" s="1"/>
  <c r="N890" i="1"/>
  <c r="O890" i="1" s="1"/>
  <c r="P890" i="1" s="1"/>
  <c r="N889" i="1"/>
  <c r="O889" i="1" s="1"/>
  <c r="P889" i="1" s="1"/>
  <c r="N888" i="1"/>
  <c r="O888" i="1" s="1"/>
  <c r="P888" i="1" s="1"/>
  <c r="N887" i="1"/>
  <c r="O887" i="1" s="1"/>
  <c r="P887" i="1" s="1"/>
  <c r="N886" i="1"/>
  <c r="O886" i="1" s="1"/>
  <c r="P886" i="1" s="1"/>
  <c r="N885" i="1"/>
  <c r="O885" i="1" s="1"/>
  <c r="P885" i="1" s="1"/>
  <c r="N884" i="1"/>
  <c r="O884" i="1" s="1"/>
  <c r="P884" i="1" s="1"/>
  <c r="N883" i="1"/>
  <c r="O883" i="1" s="1"/>
  <c r="P883" i="1" s="1"/>
  <c r="K883" i="1"/>
  <c r="H883" i="1"/>
  <c r="I883" i="1" s="1"/>
  <c r="N882" i="1"/>
  <c r="O882" i="1" s="1"/>
  <c r="P882" i="1" s="1"/>
  <c r="K882" i="1"/>
  <c r="H882" i="1"/>
  <c r="I882" i="1" s="1"/>
  <c r="N881" i="1"/>
  <c r="O881" i="1" s="1"/>
  <c r="P881" i="1" s="1"/>
  <c r="H881" i="1"/>
  <c r="I881" i="1" s="1"/>
  <c r="N880" i="1"/>
  <c r="O880" i="1" s="1"/>
  <c r="P880" i="1" s="1"/>
  <c r="H880" i="1"/>
  <c r="I880" i="1" s="1"/>
  <c r="N879" i="1"/>
  <c r="O879" i="1" s="1"/>
  <c r="P879" i="1" s="1"/>
  <c r="H879" i="1"/>
  <c r="I879" i="1" s="1"/>
  <c r="N878" i="1"/>
  <c r="O878" i="1" s="1"/>
  <c r="P878" i="1" s="1"/>
  <c r="H878" i="1"/>
  <c r="I878" i="1" s="1"/>
  <c r="N877" i="1"/>
  <c r="O877" i="1" s="1"/>
  <c r="P877" i="1" s="1"/>
  <c r="H877" i="1"/>
  <c r="I877" i="1" s="1"/>
  <c r="N876" i="1"/>
  <c r="O876" i="1" s="1"/>
  <c r="P876" i="1" s="1"/>
  <c r="H876" i="1"/>
  <c r="I876" i="1" s="1"/>
  <c r="N875" i="1"/>
  <c r="O875" i="1" s="1"/>
  <c r="P875" i="1" s="1"/>
  <c r="H875" i="1"/>
  <c r="I875" i="1" s="1"/>
  <c r="N874" i="1"/>
  <c r="O874" i="1" s="1"/>
  <c r="P874" i="1" s="1"/>
  <c r="H874" i="1"/>
  <c r="I874" i="1" s="1"/>
  <c r="N873" i="1"/>
  <c r="O873" i="1" s="1"/>
  <c r="P873" i="1" s="1"/>
  <c r="H873" i="1"/>
  <c r="I873" i="1" s="1"/>
  <c r="N872" i="1"/>
  <c r="O872" i="1" s="1"/>
  <c r="P872" i="1" s="1"/>
  <c r="H872" i="1"/>
  <c r="I872" i="1" s="1"/>
  <c r="N871" i="1"/>
  <c r="O871" i="1" s="1"/>
  <c r="P871" i="1" s="1"/>
  <c r="H871" i="1"/>
  <c r="I871" i="1" s="1"/>
  <c r="N870" i="1"/>
  <c r="O870" i="1" s="1"/>
  <c r="P870" i="1" s="1"/>
  <c r="H870" i="1"/>
  <c r="I870" i="1" s="1"/>
  <c r="N869" i="1"/>
  <c r="O869" i="1" s="1"/>
  <c r="P869" i="1" s="1"/>
  <c r="H869" i="1"/>
  <c r="I869" i="1" s="1"/>
  <c r="N868" i="1"/>
  <c r="O868" i="1" s="1"/>
  <c r="P868" i="1" s="1"/>
  <c r="H868" i="1"/>
  <c r="I868" i="1" s="1"/>
  <c r="N867" i="1"/>
  <c r="O867" i="1" s="1"/>
  <c r="P867" i="1" s="1"/>
  <c r="H867" i="1"/>
  <c r="I867" i="1" s="1"/>
  <c r="N866" i="1"/>
  <c r="O866" i="1" s="1"/>
  <c r="P866" i="1" s="1"/>
  <c r="H866" i="1"/>
  <c r="I866" i="1" s="1"/>
  <c r="N865" i="1"/>
  <c r="O865" i="1" s="1"/>
  <c r="P865" i="1" s="1"/>
  <c r="H865" i="1"/>
  <c r="I865" i="1" s="1"/>
  <c r="N864" i="1"/>
  <c r="O864" i="1" s="1"/>
  <c r="P864" i="1" s="1"/>
  <c r="H864" i="1"/>
  <c r="I864" i="1" s="1"/>
  <c r="N863" i="1"/>
  <c r="O863" i="1" s="1"/>
  <c r="P863" i="1" s="1"/>
  <c r="H863" i="1"/>
  <c r="I863" i="1" s="1"/>
  <c r="N862" i="1"/>
  <c r="O862" i="1" s="1"/>
  <c r="P862" i="1" s="1"/>
  <c r="H862" i="1"/>
  <c r="I862" i="1" s="1"/>
  <c r="N861" i="1"/>
  <c r="O861" i="1" s="1"/>
  <c r="P861" i="1" s="1"/>
  <c r="H861" i="1"/>
  <c r="I861" i="1" s="1"/>
  <c r="N860" i="1"/>
  <c r="O860" i="1" s="1"/>
  <c r="P860" i="1" s="1"/>
  <c r="H860" i="1"/>
  <c r="I860" i="1" s="1"/>
  <c r="N859" i="1"/>
  <c r="O859" i="1" s="1"/>
  <c r="P859" i="1" s="1"/>
  <c r="K859" i="1"/>
  <c r="H859" i="1"/>
  <c r="I859" i="1" s="1"/>
  <c r="N858" i="1"/>
  <c r="O858" i="1" s="1"/>
  <c r="P858" i="1" s="1"/>
  <c r="K858" i="1"/>
  <c r="H858" i="1"/>
  <c r="I858" i="1" s="1"/>
  <c r="N857" i="1"/>
  <c r="O857" i="1" s="1"/>
  <c r="P857" i="1" s="1"/>
  <c r="K857" i="1"/>
  <c r="H857" i="1"/>
  <c r="I857" i="1" s="1"/>
  <c r="N856" i="1"/>
  <c r="O856" i="1" s="1"/>
  <c r="P856" i="1" s="1"/>
  <c r="N855" i="1"/>
  <c r="O855" i="1" s="1"/>
  <c r="P855" i="1" s="1"/>
  <c r="K855" i="1"/>
  <c r="H855" i="1"/>
  <c r="I855" i="1" s="1"/>
  <c r="N854" i="1"/>
  <c r="O854" i="1" s="1"/>
  <c r="P854" i="1" s="1"/>
  <c r="K854" i="1"/>
  <c r="H854" i="1"/>
  <c r="I854" i="1" s="1"/>
  <c r="N853" i="1"/>
  <c r="O853" i="1" s="1"/>
  <c r="P853" i="1" s="1"/>
  <c r="K853" i="1"/>
  <c r="H853" i="1"/>
  <c r="I853" i="1" s="1"/>
  <c r="N852" i="1"/>
  <c r="O852" i="1" s="1"/>
  <c r="P852" i="1" s="1"/>
  <c r="K852" i="1"/>
  <c r="H852" i="1"/>
  <c r="I852" i="1" s="1"/>
  <c r="N851" i="1"/>
  <c r="O851" i="1" s="1"/>
  <c r="P851" i="1" s="1"/>
  <c r="K851" i="1"/>
  <c r="H851" i="1"/>
  <c r="I851" i="1" s="1"/>
  <c r="N850" i="1"/>
  <c r="O850" i="1" s="1"/>
  <c r="P850" i="1" s="1"/>
  <c r="K850" i="1"/>
  <c r="H850" i="1"/>
  <c r="I850" i="1" s="1"/>
  <c r="N849" i="1"/>
  <c r="O849" i="1" s="1"/>
  <c r="P849" i="1" s="1"/>
  <c r="N848" i="1"/>
  <c r="O848" i="1" s="1"/>
  <c r="N847" i="1"/>
  <c r="O847" i="1" s="1"/>
  <c r="P847" i="1" s="1"/>
  <c r="Q847" i="1" s="1"/>
  <c r="R847" i="1" s="1"/>
  <c r="O846" i="1"/>
  <c r="P846" i="1" s="1"/>
  <c r="N845" i="1"/>
  <c r="O845" i="1" s="1"/>
  <c r="P845" i="1" s="1"/>
  <c r="K845" i="1"/>
  <c r="H845" i="1"/>
  <c r="I845" i="1" s="1"/>
  <c r="N844" i="1"/>
  <c r="O844" i="1" s="1"/>
  <c r="P844" i="1" s="1"/>
  <c r="K844" i="1"/>
  <c r="H844" i="1"/>
  <c r="I844" i="1" s="1"/>
  <c r="N843" i="1"/>
  <c r="O843" i="1" s="1"/>
  <c r="P843" i="1" s="1"/>
  <c r="N842" i="1"/>
  <c r="O842" i="1" s="1"/>
  <c r="P842" i="1" s="1"/>
  <c r="N841" i="1"/>
  <c r="O841" i="1" s="1"/>
  <c r="P841" i="1" s="1"/>
  <c r="K841" i="1"/>
  <c r="H841" i="1"/>
  <c r="I841" i="1" s="1"/>
  <c r="N840" i="1"/>
  <c r="O840" i="1" s="1"/>
  <c r="P840" i="1" s="1"/>
  <c r="K840" i="1"/>
  <c r="H840" i="1"/>
  <c r="I840" i="1" s="1"/>
  <c r="N839" i="1"/>
  <c r="O839" i="1" s="1"/>
  <c r="P839" i="1" s="1"/>
  <c r="Q839" i="1" s="1"/>
  <c r="R839" i="1" s="1"/>
  <c r="N838" i="1"/>
  <c r="O838" i="1" s="1"/>
  <c r="P838" i="1" s="1"/>
  <c r="K838" i="1"/>
  <c r="H838" i="1"/>
  <c r="I838" i="1" s="1"/>
  <c r="N837" i="1"/>
  <c r="O837" i="1" s="1"/>
  <c r="P837" i="1" s="1"/>
  <c r="K837" i="1"/>
  <c r="H837" i="1"/>
  <c r="I837" i="1" s="1"/>
  <c r="N836" i="1"/>
  <c r="O836" i="1" s="1"/>
  <c r="P836" i="1" s="1"/>
  <c r="N835" i="1"/>
  <c r="O835" i="1" s="1"/>
  <c r="P835" i="1" s="1"/>
  <c r="K835" i="1"/>
  <c r="H835" i="1"/>
  <c r="I835" i="1" s="1"/>
  <c r="N834" i="1"/>
  <c r="O834" i="1" s="1"/>
  <c r="P834" i="1" s="1"/>
  <c r="K834" i="1"/>
  <c r="H834" i="1"/>
  <c r="I834" i="1" s="1"/>
  <c r="N833" i="1"/>
  <c r="O833" i="1" s="1"/>
  <c r="P833" i="1" s="1"/>
  <c r="N832" i="1"/>
  <c r="O832" i="1" s="1"/>
  <c r="P832" i="1" s="1"/>
  <c r="N831" i="1"/>
  <c r="O831" i="1" s="1"/>
  <c r="P831" i="1" s="1"/>
  <c r="K831" i="1"/>
  <c r="H831" i="1"/>
  <c r="I831" i="1" s="1"/>
  <c r="N830" i="1"/>
  <c r="O830" i="1" s="1"/>
  <c r="P830" i="1" s="1"/>
  <c r="K830" i="1"/>
  <c r="H830" i="1"/>
  <c r="I830" i="1" s="1"/>
  <c r="N829" i="1"/>
  <c r="O829" i="1" s="1"/>
  <c r="P829" i="1" s="1"/>
  <c r="K829" i="1"/>
  <c r="H829" i="1"/>
  <c r="I829" i="1" s="1"/>
  <c r="N828" i="1"/>
  <c r="O828" i="1" s="1"/>
  <c r="P828" i="1" s="1"/>
  <c r="H828" i="1"/>
  <c r="I828" i="1" s="1"/>
  <c r="N827" i="1"/>
  <c r="O827" i="1" s="1"/>
  <c r="P827" i="1" s="1"/>
  <c r="H827" i="1"/>
  <c r="I827" i="1" s="1"/>
  <c r="N826" i="1"/>
  <c r="O826" i="1" s="1"/>
  <c r="P826" i="1" s="1"/>
  <c r="K826" i="1"/>
  <c r="H826" i="1"/>
  <c r="I826" i="1" s="1"/>
  <c r="N825" i="1"/>
  <c r="O825" i="1" s="1"/>
  <c r="P825" i="1" s="1"/>
  <c r="K825" i="1"/>
  <c r="H825" i="1"/>
  <c r="I825" i="1" s="1"/>
  <c r="N824" i="1"/>
  <c r="O824" i="1" s="1"/>
  <c r="P824" i="1" s="1"/>
  <c r="K824" i="1"/>
  <c r="H824" i="1"/>
  <c r="I824" i="1" s="1"/>
  <c r="N823" i="1"/>
  <c r="O823" i="1" s="1"/>
  <c r="P823" i="1" s="1"/>
  <c r="K823" i="1"/>
  <c r="H823" i="1"/>
  <c r="I823" i="1" s="1"/>
  <c r="N821" i="1"/>
  <c r="O821" i="1" s="1"/>
  <c r="P821" i="1" s="1"/>
  <c r="K821" i="1"/>
  <c r="H821" i="1"/>
  <c r="I821" i="1" s="1"/>
  <c r="N820" i="1"/>
  <c r="O820" i="1" s="1"/>
  <c r="P820" i="1" s="1"/>
  <c r="K820" i="1"/>
  <c r="H820" i="1"/>
  <c r="I820" i="1" s="1"/>
  <c r="N819" i="1"/>
  <c r="O819" i="1" s="1"/>
  <c r="P819" i="1" s="1"/>
  <c r="K819" i="1"/>
  <c r="H819" i="1"/>
  <c r="I819" i="1" s="1"/>
  <c r="N818" i="1"/>
  <c r="O818" i="1" s="1"/>
  <c r="P818" i="1" s="1"/>
  <c r="K818" i="1"/>
  <c r="H818" i="1"/>
  <c r="I818" i="1" s="1"/>
  <c r="N817" i="1"/>
  <c r="O817" i="1" s="1"/>
  <c r="P817" i="1" s="1"/>
  <c r="K817" i="1"/>
  <c r="H817" i="1"/>
  <c r="I817" i="1" s="1"/>
  <c r="N816" i="1"/>
  <c r="O816" i="1" s="1"/>
  <c r="P816" i="1" s="1"/>
  <c r="Q816" i="1" s="1"/>
  <c r="R816" i="1" s="1"/>
  <c r="N815" i="1"/>
  <c r="O815" i="1" s="1"/>
  <c r="P815" i="1" s="1"/>
  <c r="N814" i="1"/>
  <c r="O814" i="1" s="1"/>
  <c r="P814" i="1" s="1"/>
  <c r="N813" i="1"/>
  <c r="O813" i="1" s="1"/>
  <c r="P813" i="1" s="1"/>
  <c r="N812" i="1"/>
  <c r="O812" i="1" s="1"/>
  <c r="P812" i="1" s="1"/>
  <c r="K812" i="1"/>
  <c r="H812" i="1"/>
  <c r="I812" i="1" s="1"/>
  <c r="N811" i="1"/>
  <c r="O811" i="1" s="1"/>
  <c r="P811" i="1" s="1"/>
  <c r="K811" i="1"/>
  <c r="H811" i="1"/>
  <c r="I811" i="1" s="1"/>
  <c r="N810" i="1"/>
  <c r="O810" i="1" s="1"/>
  <c r="P810" i="1" s="1"/>
  <c r="K810" i="1"/>
  <c r="H810" i="1"/>
  <c r="I810" i="1" s="1"/>
  <c r="N809" i="1"/>
  <c r="O809" i="1" s="1"/>
  <c r="P809" i="1" s="1"/>
  <c r="K809" i="1"/>
  <c r="H809" i="1"/>
  <c r="I809" i="1" s="1"/>
  <c r="N808" i="1"/>
  <c r="O808" i="1" s="1"/>
  <c r="P808" i="1" s="1"/>
  <c r="K808" i="1"/>
  <c r="H808" i="1"/>
  <c r="I808" i="1" s="1"/>
  <c r="N807" i="1"/>
  <c r="O807" i="1" s="1"/>
  <c r="P807" i="1" s="1"/>
  <c r="N806" i="1"/>
  <c r="O806" i="1" s="1"/>
  <c r="P806" i="1" s="1"/>
  <c r="K806" i="1"/>
  <c r="H806" i="1"/>
  <c r="I806" i="1" s="1"/>
  <c r="N805" i="1"/>
  <c r="O805" i="1" s="1"/>
  <c r="P805" i="1" s="1"/>
  <c r="K805" i="1"/>
  <c r="H805" i="1"/>
  <c r="I805" i="1" s="1"/>
  <c r="N804" i="1"/>
  <c r="O804" i="1" s="1"/>
  <c r="P804" i="1" s="1"/>
  <c r="K804" i="1"/>
  <c r="H804" i="1"/>
  <c r="I804" i="1" s="1"/>
  <c r="N803" i="1"/>
  <c r="O803" i="1" s="1"/>
  <c r="P803" i="1" s="1"/>
  <c r="K803" i="1"/>
  <c r="H803" i="1"/>
  <c r="I803" i="1" s="1"/>
  <c r="N802" i="1"/>
  <c r="O802" i="1" s="1"/>
  <c r="P802" i="1" s="1"/>
  <c r="K802" i="1"/>
  <c r="H802" i="1"/>
  <c r="I802" i="1" s="1"/>
  <c r="N801" i="1"/>
  <c r="O801" i="1" s="1"/>
  <c r="P801" i="1" s="1"/>
  <c r="K801" i="1"/>
  <c r="H801" i="1"/>
  <c r="I801" i="1" s="1"/>
  <c r="N800" i="1"/>
  <c r="O800" i="1" s="1"/>
  <c r="P800" i="1" s="1"/>
  <c r="K800" i="1"/>
  <c r="H800" i="1"/>
  <c r="I800" i="1" s="1"/>
  <c r="N799" i="1"/>
  <c r="O799" i="1" s="1"/>
  <c r="P799" i="1" s="1"/>
  <c r="K799" i="1"/>
  <c r="H799" i="1"/>
  <c r="I799" i="1" s="1"/>
  <c r="N798" i="1"/>
  <c r="O798" i="1" s="1"/>
  <c r="P798" i="1" s="1"/>
  <c r="K798" i="1"/>
  <c r="H798" i="1"/>
  <c r="I798" i="1" s="1"/>
  <c r="N797" i="1"/>
  <c r="O797" i="1" s="1"/>
  <c r="P797" i="1" s="1"/>
  <c r="K797" i="1"/>
  <c r="H797" i="1"/>
  <c r="I797" i="1" s="1"/>
  <c r="N796" i="1"/>
  <c r="O796" i="1" s="1"/>
  <c r="P796" i="1" s="1"/>
  <c r="K796" i="1"/>
  <c r="H796" i="1"/>
  <c r="I796" i="1" s="1"/>
  <c r="P795" i="1"/>
  <c r="H795" i="1"/>
  <c r="I795" i="1" s="1"/>
  <c r="N794" i="1"/>
  <c r="O794" i="1" s="1"/>
  <c r="P794" i="1" s="1"/>
  <c r="K794" i="1"/>
  <c r="H794" i="1"/>
  <c r="I794" i="1" s="1"/>
  <c r="N793" i="1"/>
  <c r="O793" i="1" s="1"/>
  <c r="P793" i="1" s="1"/>
  <c r="K793" i="1"/>
  <c r="H793" i="1"/>
  <c r="I793" i="1" s="1"/>
  <c r="N792" i="1"/>
  <c r="O792" i="1" s="1"/>
  <c r="P792" i="1" s="1"/>
  <c r="H792" i="1"/>
  <c r="I792" i="1" s="1"/>
  <c r="N791" i="1"/>
  <c r="O791" i="1" s="1"/>
  <c r="P791" i="1" s="1"/>
  <c r="H791" i="1"/>
  <c r="I791" i="1" s="1"/>
  <c r="N790" i="1"/>
  <c r="O790" i="1" s="1"/>
  <c r="P790" i="1" s="1"/>
  <c r="K790" i="1"/>
  <c r="H790" i="1"/>
  <c r="I790" i="1" s="1"/>
  <c r="N789" i="1"/>
  <c r="O789" i="1" s="1"/>
  <c r="P789" i="1" s="1"/>
  <c r="K789" i="1"/>
  <c r="H789" i="1"/>
  <c r="I789" i="1" s="1"/>
  <c r="N788" i="1"/>
  <c r="O788" i="1" s="1"/>
  <c r="P788" i="1" s="1"/>
  <c r="K788" i="1"/>
  <c r="H788" i="1"/>
  <c r="I788" i="1" s="1"/>
  <c r="N787" i="1"/>
  <c r="O787" i="1" s="1"/>
  <c r="P787" i="1" s="1"/>
  <c r="K787" i="1"/>
  <c r="H787" i="1"/>
  <c r="I787" i="1" s="1"/>
  <c r="N786" i="1"/>
  <c r="O786" i="1" s="1"/>
  <c r="P786" i="1" s="1"/>
  <c r="K786" i="1"/>
  <c r="H786" i="1"/>
  <c r="I786" i="1" s="1"/>
  <c r="N785" i="1"/>
  <c r="O785" i="1" s="1"/>
  <c r="P785" i="1" s="1"/>
  <c r="K785" i="1"/>
  <c r="H785" i="1"/>
  <c r="I785" i="1" s="1"/>
  <c r="N784" i="1"/>
  <c r="O784" i="1" s="1"/>
  <c r="P784" i="1" s="1"/>
  <c r="K784" i="1"/>
  <c r="H784" i="1"/>
  <c r="I784" i="1" s="1"/>
  <c r="N783" i="1"/>
  <c r="O783" i="1" s="1"/>
  <c r="P783" i="1" s="1"/>
  <c r="K783" i="1"/>
  <c r="H783" i="1"/>
  <c r="I783" i="1" s="1"/>
  <c r="N782" i="1"/>
  <c r="O782" i="1" s="1"/>
  <c r="P782" i="1" s="1"/>
  <c r="Q782" i="1" s="1"/>
  <c r="R782" i="1" s="1"/>
  <c r="N781" i="1"/>
  <c r="O781" i="1" s="1"/>
  <c r="P781" i="1" s="1"/>
  <c r="N780" i="1"/>
  <c r="O780" i="1" s="1"/>
  <c r="P780" i="1" s="1"/>
  <c r="N779" i="1"/>
  <c r="O779" i="1" s="1"/>
  <c r="P779" i="1" s="1"/>
  <c r="N778" i="1"/>
  <c r="O778" i="1" s="1"/>
  <c r="P778" i="1" s="1"/>
  <c r="N777" i="1"/>
  <c r="O777" i="1" s="1"/>
  <c r="P777" i="1" s="1"/>
  <c r="N776" i="1"/>
  <c r="O776" i="1" s="1"/>
  <c r="P776" i="1" s="1"/>
  <c r="K776" i="1"/>
  <c r="H776" i="1"/>
  <c r="I776" i="1" s="1"/>
  <c r="N775" i="1"/>
  <c r="O775" i="1" s="1"/>
  <c r="P775" i="1" s="1"/>
  <c r="N774" i="1"/>
  <c r="O774" i="1" s="1"/>
  <c r="P774" i="1" s="1"/>
  <c r="N773" i="1"/>
  <c r="O773" i="1" s="1"/>
  <c r="P773" i="1" s="1"/>
  <c r="Q773" i="1"/>
  <c r="R773" i="1" s="1"/>
  <c r="N772" i="1"/>
  <c r="O772" i="1" s="1"/>
  <c r="P772" i="1" s="1"/>
  <c r="N771" i="1"/>
  <c r="O771" i="1" s="1"/>
  <c r="P771" i="1" s="1"/>
  <c r="N770" i="1"/>
  <c r="O770" i="1" s="1"/>
  <c r="P770" i="1" s="1"/>
  <c r="N769" i="1"/>
  <c r="O769" i="1" s="1"/>
  <c r="P769" i="1" s="1"/>
  <c r="K769" i="1"/>
  <c r="H769" i="1"/>
  <c r="I769" i="1" s="1"/>
  <c r="N768" i="1"/>
  <c r="O768" i="1" s="1"/>
  <c r="P768" i="1" s="1"/>
  <c r="K768" i="1"/>
  <c r="H768" i="1"/>
  <c r="I768" i="1" s="1"/>
  <c r="N767" i="1"/>
  <c r="O767" i="1" s="1"/>
  <c r="P767" i="1" s="1"/>
  <c r="K767" i="1"/>
  <c r="H767" i="1"/>
  <c r="I767" i="1" s="1"/>
  <c r="N766" i="1"/>
  <c r="O766" i="1" s="1"/>
  <c r="P766" i="1" s="1"/>
  <c r="K766" i="1"/>
  <c r="H766" i="1"/>
  <c r="I766" i="1" s="1"/>
  <c r="N765" i="1"/>
  <c r="O765" i="1" s="1"/>
  <c r="P765" i="1" s="1"/>
  <c r="K765" i="1"/>
  <c r="H765" i="1"/>
  <c r="I765" i="1" s="1"/>
  <c r="N764" i="1"/>
  <c r="O764" i="1" s="1"/>
  <c r="P764" i="1" s="1"/>
  <c r="K764" i="1"/>
  <c r="H764" i="1"/>
  <c r="I764" i="1" s="1"/>
  <c r="N763" i="1"/>
  <c r="O763" i="1" s="1"/>
  <c r="P763" i="1" s="1"/>
  <c r="K763" i="1"/>
  <c r="H763" i="1"/>
  <c r="I763" i="1" s="1"/>
  <c r="N762" i="1"/>
  <c r="O762" i="1" s="1"/>
  <c r="P762" i="1" s="1"/>
  <c r="K762" i="1"/>
  <c r="H762" i="1"/>
  <c r="I762" i="1" s="1"/>
  <c r="N761" i="1"/>
  <c r="O761" i="1" s="1"/>
  <c r="P761" i="1" s="1"/>
  <c r="K761" i="1"/>
  <c r="H761" i="1"/>
  <c r="I761" i="1" s="1"/>
  <c r="N760" i="1"/>
  <c r="O760" i="1" s="1"/>
  <c r="P760" i="1" s="1"/>
  <c r="K760" i="1"/>
  <c r="H760" i="1"/>
  <c r="I760" i="1" s="1"/>
  <c r="N759" i="1"/>
  <c r="O759" i="1" s="1"/>
  <c r="P759" i="1" s="1"/>
  <c r="K759" i="1"/>
  <c r="H759" i="1"/>
  <c r="I759" i="1" s="1"/>
  <c r="N758" i="1"/>
  <c r="O758" i="1" s="1"/>
  <c r="P758" i="1" s="1"/>
  <c r="K758" i="1"/>
  <c r="H758" i="1"/>
  <c r="I758" i="1" s="1"/>
  <c r="N757" i="1"/>
  <c r="O757" i="1" s="1"/>
  <c r="P757" i="1" s="1"/>
  <c r="N756" i="1"/>
  <c r="O756" i="1" s="1"/>
  <c r="P756" i="1" s="1"/>
  <c r="K756" i="1"/>
  <c r="H756" i="1"/>
  <c r="I756" i="1" s="1"/>
  <c r="N755" i="1"/>
  <c r="O755" i="1" s="1"/>
  <c r="P755" i="1" s="1"/>
  <c r="K755" i="1"/>
  <c r="H755" i="1"/>
  <c r="I755" i="1" s="1"/>
  <c r="N754" i="1"/>
  <c r="O754" i="1" s="1"/>
  <c r="P754" i="1" s="1"/>
  <c r="N753" i="1"/>
  <c r="O753" i="1" s="1"/>
  <c r="P753" i="1" s="1"/>
  <c r="N752" i="1"/>
  <c r="O752" i="1" s="1"/>
  <c r="P752" i="1" s="1"/>
  <c r="N751" i="1"/>
  <c r="O751" i="1" s="1"/>
  <c r="P751" i="1" s="1"/>
  <c r="N750" i="1"/>
  <c r="O750" i="1" s="1"/>
  <c r="P750" i="1" s="1"/>
  <c r="K750" i="1"/>
  <c r="H750" i="1"/>
  <c r="I750" i="1" s="1"/>
  <c r="N749" i="1"/>
  <c r="O749" i="1" s="1"/>
  <c r="P749" i="1" s="1"/>
  <c r="K749" i="1"/>
  <c r="H749" i="1"/>
  <c r="I749" i="1" s="1"/>
  <c r="N748" i="1"/>
  <c r="O748" i="1" s="1"/>
  <c r="P748" i="1" s="1"/>
  <c r="N747" i="1"/>
  <c r="O747" i="1" s="1"/>
  <c r="P747" i="1" s="1"/>
  <c r="K747" i="1"/>
  <c r="H747" i="1"/>
  <c r="I747" i="1" s="1"/>
  <c r="N746" i="1"/>
  <c r="O746" i="1" s="1"/>
  <c r="P746" i="1" s="1"/>
  <c r="K746" i="1"/>
  <c r="H746" i="1"/>
  <c r="I746" i="1" s="1"/>
  <c r="N745" i="1"/>
  <c r="O745" i="1" s="1"/>
  <c r="P745" i="1" s="1"/>
  <c r="N744" i="1"/>
  <c r="O744" i="1" s="1"/>
  <c r="P744" i="1" s="1"/>
  <c r="K744" i="1"/>
  <c r="H744" i="1"/>
  <c r="I744" i="1" s="1"/>
  <c r="N743" i="1"/>
  <c r="O743" i="1" s="1"/>
  <c r="P743" i="1" s="1"/>
  <c r="K743" i="1"/>
  <c r="H743" i="1"/>
  <c r="I743" i="1" s="1"/>
  <c r="N742" i="1"/>
  <c r="O742" i="1" s="1"/>
  <c r="P742" i="1" s="1"/>
  <c r="K742" i="1"/>
  <c r="H742" i="1"/>
  <c r="I742" i="1" s="1"/>
  <c r="N741" i="1"/>
  <c r="O741" i="1" s="1"/>
  <c r="P741" i="1" s="1"/>
  <c r="K741" i="1"/>
  <c r="H741" i="1"/>
  <c r="I741" i="1" s="1"/>
  <c r="N740" i="1"/>
  <c r="O740" i="1" s="1"/>
  <c r="P740" i="1" s="1"/>
  <c r="K740" i="1"/>
  <c r="H740" i="1"/>
  <c r="I740" i="1" s="1"/>
  <c r="N738" i="1"/>
  <c r="O738" i="1" s="1"/>
  <c r="P738" i="1" s="1"/>
  <c r="K738" i="1"/>
  <c r="H738" i="1"/>
  <c r="I738" i="1" s="1"/>
  <c r="N737" i="1"/>
  <c r="O737" i="1" s="1"/>
  <c r="P737" i="1" s="1"/>
  <c r="K737" i="1"/>
  <c r="H737" i="1"/>
  <c r="I737" i="1" s="1"/>
  <c r="N736" i="1"/>
  <c r="O736" i="1" s="1"/>
  <c r="P736" i="1" s="1"/>
  <c r="K736" i="1"/>
  <c r="H736" i="1"/>
  <c r="I736" i="1" s="1"/>
  <c r="N735" i="1"/>
  <c r="O735" i="1" s="1"/>
  <c r="P735" i="1" s="1"/>
  <c r="K735" i="1"/>
  <c r="H735" i="1"/>
  <c r="I735" i="1" s="1"/>
  <c r="N734" i="1"/>
  <c r="O734" i="1" s="1"/>
  <c r="P734" i="1" s="1"/>
  <c r="K734" i="1"/>
  <c r="H734" i="1"/>
  <c r="I734" i="1" s="1"/>
  <c r="N733" i="1"/>
  <c r="O733" i="1" s="1"/>
  <c r="P733" i="1" s="1"/>
  <c r="K733" i="1"/>
  <c r="H733" i="1"/>
  <c r="I733" i="1" s="1"/>
  <c r="N732" i="1"/>
  <c r="O732" i="1" s="1"/>
  <c r="P732" i="1" s="1"/>
  <c r="K732" i="1"/>
  <c r="H732" i="1"/>
  <c r="I732" i="1" s="1"/>
  <c r="N731" i="1"/>
  <c r="O731" i="1" s="1"/>
  <c r="P731" i="1" s="1"/>
  <c r="K731" i="1"/>
  <c r="H731" i="1"/>
  <c r="I731" i="1" s="1"/>
  <c r="N730" i="1"/>
  <c r="O730" i="1" s="1"/>
  <c r="P730" i="1" s="1"/>
  <c r="K730" i="1"/>
  <c r="H730" i="1"/>
  <c r="I730" i="1" s="1"/>
  <c r="N729" i="1"/>
  <c r="O729" i="1" s="1"/>
  <c r="P729" i="1" s="1"/>
  <c r="K729" i="1"/>
  <c r="H729" i="1"/>
  <c r="I729" i="1" s="1"/>
  <c r="N728" i="1"/>
  <c r="O728" i="1" s="1"/>
  <c r="P728" i="1" s="1"/>
  <c r="K728" i="1"/>
  <c r="H728" i="1"/>
  <c r="I728" i="1" s="1"/>
  <c r="N727" i="1"/>
  <c r="O727" i="1" s="1"/>
  <c r="P727" i="1" s="1"/>
  <c r="K727" i="1"/>
  <c r="H727" i="1"/>
  <c r="I727" i="1" s="1"/>
  <c r="N726" i="1"/>
  <c r="O726" i="1" s="1"/>
  <c r="P726" i="1" s="1"/>
  <c r="K726" i="1"/>
  <c r="H726" i="1"/>
  <c r="I726" i="1" s="1"/>
  <c r="N725" i="1"/>
  <c r="O725" i="1" s="1"/>
  <c r="P725" i="1" s="1"/>
  <c r="K725" i="1"/>
  <c r="H725" i="1"/>
  <c r="I725" i="1" s="1"/>
  <c r="N724" i="1"/>
  <c r="O724" i="1" s="1"/>
  <c r="P724" i="1" s="1"/>
  <c r="K724" i="1"/>
  <c r="H724" i="1"/>
  <c r="I724" i="1" s="1"/>
  <c r="N723" i="1"/>
  <c r="O723" i="1" s="1"/>
  <c r="P723" i="1" s="1"/>
  <c r="K723" i="1"/>
  <c r="H723" i="1"/>
  <c r="I723" i="1" s="1"/>
  <c r="N722" i="1"/>
  <c r="O722" i="1" s="1"/>
  <c r="P722" i="1" s="1"/>
  <c r="K722" i="1"/>
  <c r="H722" i="1"/>
  <c r="I722" i="1" s="1"/>
  <c r="N721" i="1"/>
  <c r="O721" i="1" s="1"/>
  <c r="P721" i="1" s="1"/>
  <c r="K721" i="1"/>
  <c r="H721" i="1"/>
  <c r="I721" i="1" s="1"/>
  <c r="N720" i="1"/>
  <c r="O720" i="1" s="1"/>
  <c r="P720" i="1" s="1"/>
  <c r="K720" i="1"/>
  <c r="H720" i="1"/>
  <c r="I720" i="1" s="1"/>
  <c r="N719" i="1"/>
  <c r="O719" i="1" s="1"/>
  <c r="P719" i="1" s="1"/>
  <c r="K719" i="1"/>
  <c r="H719" i="1"/>
  <c r="I719" i="1" s="1"/>
  <c r="N718" i="1"/>
  <c r="O718" i="1" s="1"/>
  <c r="P718" i="1" s="1"/>
  <c r="K718" i="1"/>
  <c r="H718" i="1"/>
  <c r="I718" i="1" s="1"/>
  <c r="N717" i="1"/>
  <c r="O717" i="1" s="1"/>
  <c r="P717" i="1" s="1"/>
  <c r="K717" i="1"/>
  <c r="H717" i="1"/>
  <c r="I717" i="1" s="1"/>
  <c r="N716" i="1"/>
  <c r="O716" i="1" s="1"/>
  <c r="P716" i="1" s="1"/>
  <c r="K716" i="1"/>
  <c r="H716" i="1"/>
  <c r="I716" i="1" s="1"/>
  <c r="O715" i="1"/>
  <c r="P715" i="1" s="1"/>
  <c r="H715" i="1"/>
  <c r="I715" i="1" s="1"/>
  <c r="N714" i="1"/>
  <c r="O714" i="1" s="1"/>
  <c r="P714" i="1" s="1"/>
  <c r="K714" i="1"/>
  <c r="H714" i="1"/>
  <c r="I714" i="1" s="1"/>
  <c r="N713" i="1"/>
  <c r="O713" i="1" s="1"/>
  <c r="P713" i="1" s="1"/>
  <c r="K713" i="1"/>
  <c r="H713" i="1"/>
  <c r="I713" i="1" s="1"/>
  <c r="N712" i="1"/>
  <c r="O712" i="1" s="1"/>
  <c r="P712" i="1" s="1"/>
  <c r="K712" i="1"/>
  <c r="H712" i="1"/>
  <c r="I712" i="1" s="1"/>
  <c r="N711" i="1"/>
  <c r="O711" i="1" s="1"/>
  <c r="P711" i="1" s="1"/>
  <c r="K711" i="1"/>
  <c r="H711" i="1"/>
  <c r="I711" i="1" s="1"/>
  <c r="N710" i="1"/>
  <c r="O710" i="1" s="1"/>
  <c r="P710" i="1" s="1"/>
  <c r="K710" i="1"/>
  <c r="H710" i="1"/>
  <c r="I710" i="1" s="1"/>
  <c r="N709" i="1"/>
  <c r="O709" i="1" s="1"/>
  <c r="P709" i="1" s="1"/>
  <c r="K709" i="1"/>
  <c r="H709" i="1"/>
  <c r="I709" i="1" s="1"/>
  <c r="N708" i="1"/>
  <c r="O708" i="1" s="1"/>
  <c r="P708" i="1" s="1"/>
  <c r="K708" i="1"/>
  <c r="H708" i="1"/>
  <c r="I708" i="1" s="1"/>
  <c r="N707" i="1"/>
  <c r="O707" i="1" s="1"/>
  <c r="P707" i="1" s="1"/>
  <c r="K707" i="1"/>
  <c r="H707" i="1"/>
  <c r="I707" i="1" s="1"/>
  <c r="N706" i="1"/>
  <c r="O706" i="1" s="1"/>
  <c r="P706" i="1" s="1"/>
  <c r="K706" i="1"/>
  <c r="H706" i="1"/>
  <c r="I706" i="1" s="1"/>
  <c r="N705" i="1"/>
  <c r="O705" i="1" s="1"/>
  <c r="P705" i="1" s="1"/>
  <c r="K705" i="1"/>
  <c r="H705" i="1"/>
  <c r="I705" i="1" s="1"/>
  <c r="N704" i="1"/>
  <c r="O704" i="1" s="1"/>
  <c r="P704" i="1" s="1"/>
  <c r="K704" i="1"/>
  <c r="H704" i="1"/>
  <c r="I704" i="1" s="1"/>
  <c r="N703" i="1"/>
  <c r="O703" i="1" s="1"/>
  <c r="P703" i="1" s="1"/>
  <c r="H703" i="1"/>
  <c r="I703" i="1" s="1"/>
  <c r="N702" i="1"/>
  <c r="O702" i="1" s="1"/>
  <c r="P702" i="1" s="1"/>
  <c r="H702" i="1"/>
  <c r="I702" i="1" s="1"/>
  <c r="N701" i="1"/>
  <c r="O701" i="1" s="1"/>
  <c r="P701" i="1" s="1"/>
  <c r="H701" i="1"/>
  <c r="I701" i="1" s="1"/>
  <c r="N700" i="1"/>
  <c r="O700" i="1" s="1"/>
  <c r="P700" i="1" s="1"/>
  <c r="H700" i="1"/>
  <c r="I700" i="1" s="1"/>
  <c r="N699" i="1"/>
  <c r="O699" i="1" s="1"/>
  <c r="P699" i="1" s="1"/>
  <c r="H699" i="1"/>
  <c r="I699" i="1" s="1"/>
  <c r="N698" i="1"/>
  <c r="O698" i="1" s="1"/>
  <c r="P698" i="1" s="1"/>
  <c r="H698" i="1"/>
  <c r="I698" i="1" s="1"/>
  <c r="N697" i="1"/>
  <c r="O697" i="1" s="1"/>
  <c r="P697" i="1" s="1"/>
  <c r="H697" i="1"/>
  <c r="I697" i="1" s="1"/>
  <c r="N696" i="1"/>
  <c r="O696" i="1" s="1"/>
  <c r="P696" i="1" s="1"/>
  <c r="H696" i="1"/>
  <c r="I696" i="1" s="1"/>
  <c r="N695" i="1"/>
  <c r="O695" i="1" s="1"/>
  <c r="P695" i="1" s="1"/>
  <c r="K695" i="1"/>
  <c r="H695" i="1"/>
  <c r="I695" i="1" s="1"/>
  <c r="N694" i="1"/>
  <c r="O694" i="1" s="1"/>
  <c r="P694" i="1" s="1"/>
  <c r="K694" i="1"/>
  <c r="H694" i="1"/>
  <c r="I694" i="1" s="1"/>
  <c r="N693" i="1"/>
  <c r="O693" i="1" s="1"/>
  <c r="P693" i="1" s="1"/>
  <c r="N692" i="1"/>
  <c r="O692" i="1" s="1"/>
  <c r="P692" i="1" s="1"/>
  <c r="N691" i="1"/>
  <c r="O691" i="1" s="1"/>
  <c r="P691" i="1" s="1"/>
  <c r="N690" i="1"/>
  <c r="O690" i="1" s="1"/>
  <c r="P690" i="1" s="1"/>
  <c r="K690" i="1"/>
  <c r="H690" i="1"/>
  <c r="I690" i="1" s="1"/>
  <c r="N689" i="1"/>
  <c r="O689" i="1" s="1"/>
  <c r="P689" i="1" s="1"/>
  <c r="K689" i="1"/>
  <c r="H689" i="1"/>
  <c r="I689" i="1" s="1"/>
  <c r="N688" i="1"/>
  <c r="O688" i="1" s="1"/>
  <c r="P688" i="1" s="1"/>
  <c r="K688" i="1"/>
  <c r="H688" i="1"/>
  <c r="I688" i="1" s="1"/>
  <c r="O687" i="1"/>
  <c r="P687" i="1" s="1"/>
  <c r="N686" i="1"/>
  <c r="O686" i="1" s="1"/>
  <c r="P686" i="1" s="1"/>
  <c r="K686" i="1"/>
  <c r="H686" i="1"/>
  <c r="I686" i="1" s="1"/>
  <c r="N685" i="1"/>
  <c r="O685" i="1" s="1"/>
  <c r="P685" i="1" s="1"/>
  <c r="K685" i="1"/>
  <c r="H685" i="1"/>
  <c r="I685" i="1" s="1"/>
  <c r="N684" i="1"/>
  <c r="O684" i="1" s="1"/>
  <c r="P684" i="1" s="1"/>
  <c r="K684" i="1"/>
  <c r="H684" i="1"/>
  <c r="I684" i="1" s="1"/>
  <c r="N683" i="1"/>
  <c r="O683" i="1" s="1"/>
  <c r="P683" i="1" s="1"/>
  <c r="N682" i="1"/>
  <c r="O682" i="1" s="1"/>
  <c r="P682" i="1" s="1"/>
  <c r="N681" i="1"/>
  <c r="O681" i="1" s="1"/>
  <c r="P681" i="1" s="1"/>
  <c r="N680" i="1"/>
  <c r="O680" i="1" s="1"/>
  <c r="P680" i="1" s="1"/>
  <c r="N679" i="1"/>
  <c r="O679" i="1" s="1"/>
  <c r="P679" i="1" s="1"/>
  <c r="N678" i="1"/>
  <c r="O678" i="1" s="1"/>
  <c r="P678" i="1" s="1"/>
  <c r="K678" i="1"/>
  <c r="H678" i="1"/>
  <c r="I678" i="1" s="1"/>
  <c r="N677" i="1"/>
  <c r="O677" i="1" s="1"/>
  <c r="P677" i="1" s="1"/>
  <c r="K677" i="1"/>
  <c r="H677" i="1"/>
  <c r="I677" i="1" s="1"/>
  <c r="N676" i="1"/>
  <c r="O676" i="1" s="1"/>
  <c r="P676" i="1" s="1"/>
  <c r="K676" i="1"/>
  <c r="H676" i="1"/>
  <c r="I676" i="1" s="1"/>
  <c r="N675" i="1"/>
  <c r="O675" i="1" s="1"/>
  <c r="P675" i="1" s="1"/>
  <c r="N674" i="1"/>
  <c r="O674" i="1" s="1"/>
  <c r="P674" i="1" s="1"/>
  <c r="N673" i="1"/>
  <c r="O673" i="1" s="1"/>
  <c r="P673" i="1" s="1"/>
  <c r="Q673" i="1" s="1"/>
  <c r="R673" i="1" s="1"/>
  <c r="N672" i="1"/>
  <c r="O672" i="1" s="1"/>
  <c r="P672" i="1" s="1"/>
  <c r="P671" i="1"/>
  <c r="N670" i="1"/>
  <c r="O670" i="1" s="1"/>
  <c r="P670" i="1" s="1"/>
  <c r="Q670" i="1" s="1"/>
  <c r="R670" i="1" s="1"/>
  <c r="N669" i="1"/>
  <c r="O669" i="1" s="1"/>
  <c r="P669" i="1" s="1"/>
  <c r="Q669" i="1" s="1"/>
  <c r="R669" i="1" s="1"/>
  <c r="N668" i="1"/>
  <c r="O668" i="1" s="1"/>
  <c r="P668" i="1" s="1"/>
  <c r="N667" i="1"/>
  <c r="O667" i="1" s="1"/>
  <c r="P667" i="1" s="1"/>
  <c r="K667" i="1"/>
  <c r="H667" i="1"/>
  <c r="I667" i="1" s="1"/>
  <c r="N666" i="1"/>
  <c r="O666" i="1" s="1"/>
  <c r="P666" i="1" s="1"/>
  <c r="K666" i="1"/>
  <c r="H666" i="1"/>
  <c r="I666" i="1" s="1"/>
  <c r="N665" i="1"/>
  <c r="O665" i="1" s="1"/>
  <c r="P665" i="1" s="1"/>
  <c r="K665" i="1"/>
  <c r="H665" i="1"/>
  <c r="I665" i="1" s="1"/>
  <c r="N664" i="1"/>
  <c r="O664" i="1" s="1"/>
  <c r="P664" i="1" s="1"/>
  <c r="K664" i="1"/>
  <c r="H664" i="1"/>
  <c r="I664" i="1" s="1"/>
  <c r="N663" i="1"/>
  <c r="O663" i="1" s="1"/>
  <c r="P663" i="1" s="1"/>
  <c r="K663" i="1"/>
  <c r="H663" i="1"/>
  <c r="I663" i="1" s="1"/>
  <c r="N662" i="1"/>
  <c r="O662" i="1" s="1"/>
  <c r="P662" i="1" s="1"/>
  <c r="K662" i="1"/>
  <c r="H662" i="1"/>
  <c r="I662" i="1" s="1"/>
  <c r="N661" i="1"/>
  <c r="O661" i="1" s="1"/>
  <c r="P661" i="1" s="1"/>
  <c r="K661" i="1"/>
  <c r="H661" i="1"/>
  <c r="I661" i="1" s="1"/>
  <c r="N659" i="1"/>
  <c r="O659" i="1" s="1"/>
  <c r="P659" i="1" s="1"/>
  <c r="K659" i="1"/>
  <c r="H659" i="1"/>
  <c r="I659" i="1" s="1"/>
  <c r="Q657" i="1"/>
  <c r="R657" i="1" s="1"/>
  <c r="Q627" i="1"/>
  <c r="R627" i="1" s="1"/>
  <c r="Q621" i="1"/>
  <c r="R621" i="1" s="1"/>
  <c r="N619" i="1"/>
  <c r="O619" i="1" s="1"/>
  <c r="P619" i="1" s="1"/>
  <c r="K619" i="1"/>
  <c r="H619" i="1"/>
  <c r="I619" i="1" s="1"/>
  <c r="N618" i="1"/>
  <c r="O618" i="1" s="1"/>
  <c r="P618" i="1" s="1"/>
  <c r="K618" i="1"/>
  <c r="H618" i="1"/>
  <c r="I618" i="1" s="1"/>
  <c r="N617" i="1"/>
  <c r="O617" i="1" s="1"/>
  <c r="P617" i="1" s="1"/>
  <c r="K617" i="1"/>
  <c r="H617" i="1"/>
  <c r="I617" i="1" s="1"/>
  <c r="N616" i="1"/>
  <c r="O616" i="1" s="1"/>
  <c r="P616" i="1" s="1"/>
  <c r="K616" i="1"/>
  <c r="H616" i="1"/>
  <c r="I616" i="1" s="1"/>
  <c r="N615" i="1"/>
  <c r="O615" i="1" s="1"/>
  <c r="P615" i="1" s="1"/>
  <c r="K615" i="1"/>
  <c r="H615" i="1"/>
  <c r="I615" i="1" s="1"/>
  <c r="N614" i="1"/>
  <c r="O614" i="1" s="1"/>
  <c r="P614" i="1" s="1"/>
  <c r="K614" i="1"/>
  <c r="H614" i="1"/>
  <c r="I614" i="1" s="1"/>
  <c r="N613" i="1"/>
  <c r="O613" i="1" s="1"/>
  <c r="P613" i="1" s="1"/>
  <c r="K613" i="1"/>
  <c r="H613" i="1"/>
  <c r="I613" i="1" s="1"/>
  <c r="N612" i="1"/>
  <c r="O612" i="1" s="1"/>
  <c r="P612" i="1" s="1"/>
  <c r="K612" i="1"/>
  <c r="H612" i="1"/>
  <c r="I612" i="1" s="1"/>
  <c r="N611" i="1"/>
  <c r="O611" i="1" s="1"/>
  <c r="P611" i="1" s="1"/>
  <c r="K611" i="1"/>
  <c r="H611" i="1"/>
  <c r="I611" i="1" s="1"/>
  <c r="N610" i="1"/>
  <c r="O610" i="1" s="1"/>
  <c r="P610" i="1" s="1"/>
  <c r="K610" i="1"/>
  <c r="H610" i="1"/>
  <c r="I610" i="1" s="1"/>
  <c r="N609" i="1"/>
  <c r="O609" i="1" s="1"/>
  <c r="P609" i="1" s="1"/>
  <c r="K609" i="1"/>
  <c r="H609" i="1"/>
  <c r="I609" i="1" s="1"/>
  <c r="N608" i="1"/>
  <c r="O608" i="1" s="1"/>
  <c r="P608" i="1" s="1"/>
  <c r="K608" i="1"/>
  <c r="H608" i="1"/>
  <c r="I608" i="1" s="1"/>
  <c r="N607" i="1"/>
  <c r="O607" i="1" s="1"/>
  <c r="P607" i="1" s="1"/>
  <c r="K607" i="1"/>
  <c r="H607" i="1"/>
  <c r="I607" i="1" s="1"/>
  <c r="N606" i="1"/>
  <c r="O606" i="1" s="1"/>
  <c r="P606" i="1" s="1"/>
  <c r="K606" i="1"/>
  <c r="H606" i="1"/>
  <c r="I606" i="1" s="1"/>
  <c r="N605" i="1"/>
  <c r="O605" i="1" s="1"/>
  <c r="P605" i="1" s="1"/>
  <c r="K605" i="1"/>
  <c r="H605" i="1"/>
  <c r="I605" i="1" s="1"/>
  <c r="N604" i="1"/>
  <c r="O604" i="1" s="1"/>
  <c r="P604" i="1" s="1"/>
  <c r="K604" i="1"/>
  <c r="H604" i="1"/>
  <c r="I604" i="1" s="1"/>
  <c r="N603" i="1"/>
  <c r="O603" i="1" s="1"/>
  <c r="P603" i="1" s="1"/>
  <c r="K603" i="1"/>
  <c r="H603" i="1"/>
  <c r="I603" i="1" s="1"/>
  <c r="N602" i="1"/>
  <c r="O602" i="1" s="1"/>
  <c r="P602" i="1" s="1"/>
  <c r="K602" i="1"/>
  <c r="H602" i="1"/>
  <c r="I602" i="1" s="1"/>
  <c r="N601" i="1"/>
  <c r="O601" i="1" s="1"/>
  <c r="P601" i="1" s="1"/>
  <c r="K601" i="1"/>
  <c r="H601" i="1"/>
  <c r="I601" i="1" s="1"/>
  <c r="N600" i="1"/>
  <c r="O600" i="1" s="1"/>
  <c r="P600" i="1" s="1"/>
  <c r="K600" i="1"/>
  <c r="H600" i="1"/>
  <c r="I600" i="1" s="1"/>
  <c r="N599" i="1"/>
  <c r="O599" i="1" s="1"/>
  <c r="P599" i="1" s="1"/>
  <c r="K599" i="1"/>
  <c r="H599" i="1"/>
  <c r="I599" i="1" s="1"/>
  <c r="N598" i="1"/>
  <c r="O598" i="1" s="1"/>
  <c r="P598" i="1" s="1"/>
  <c r="K598" i="1"/>
  <c r="H598" i="1"/>
  <c r="I598" i="1" s="1"/>
  <c r="N597" i="1"/>
  <c r="O597" i="1" s="1"/>
  <c r="P597" i="1" s="1"/>
  <c r="K597" i="1"/>
  <c r="H597" i="1"/>
  <c r="I597" i="1" s="1"/>
  <c r="N596" i="1"/>
  <c r="O596" i="1" s="1"/>
  <c r="H596" i="1"/>
  <c r="N595" i="1"/>
  <c r="O595" i="1" s="1"/>
  <c r="P595" i="1" s="1"/>
  <c r="K595" i="1"/>
  <c r="H595" i="1"/>
  <c r="I595" i="1" s="1"/>
  <c r="N594" i="1"/>
  <c r="O594" i="1" s="1"/>
  <c r="P594" i="1" s="1"/>
  <c r="K594" i="1"/>
  <c r="H594" i="1"/>
  <c r="I594" i="1" s="1"/>
  <c r="N593" i="1"/>
  <c r="O593" i="1" s="1"/>
  <c r="P593" i="1" s="1"/>
  <c r="K593" i="1"/>
  <c r="H593" i="1"/>
  <c r="I593" i="1" s="1"/>
  <c r="N592" i="1"/>
  <c r="O592" i="1" s="1"/>
  <c r="P592" i="1" s="1"/>
  <c r="K592" i="1"/>
  <c r="H592" i="1"/>
  <c r="I592" i="1" s="1"/>
  <c r="N591" i="1"/>
  <c r="O591" i="1" s="1"/>
  <c r="P591" i="1" s="1"/>
  <c r="K591" i="1"/>
  <c r="H591" i="1"/>
  <c r="I591" i="1" s="1"/>
  <c r="N590" i="1"/>
  <c r="O590" i="1" s="1"/>
  <c r="P590" i="1" s="1"/>
  <c r="K590" i="1"/>
  <c r="H590" i="1"/>
  <c r="I590" i="1" s="1"/>
  <c r="N588" i="1"/>
  <c r="O588" i="1" s="1"/>
  <c r="P588" i="1" s="1"/>
  <c r="K588" i="1"/>
  <c r="H588" i="1"/>
  <c r="I588" i="1" s="1"/>
  <c r="N587" i="1"/>
  <c r="O587" i="1" s="1"/>
  <c r="P587" i="1" s="1"/>
  <c r="K587" i="1"/>
  <c r="H587" i="1"/>
  <c r="I587" i="1" s="1"/>
  <c r="N586" i="1"/>
  <c r="O586" i="1" s="1"/>
  <c r="P586" i="1" s="1"/>
  <c r="K586" i="1"/>
  <c r="H586" i="1"/>
  <c r="I586" i="1" s="1"/>
  <c r="N585" i="1"/>
  <c r="O585" i="1" s="1"/>
  <c r="P585" i="1" s="1"/>
  <c r="K585" i="1"/>
  <c r="H585" i="1"/>
  <c r="I585" i="1" s="1"/>
  <c r="O584" i="1"/>
  <c r="P584" i="1" s="1"/>
  <c r="H584" i="1"/>
  <c r="I584" i="1" s="1"/>
  <c r="N583" i="1"/>
  <c r="O583" i="1" s="1"/>
  <c r="P583" i="1" s="1"/>
  <c r="K583" i="1"/>
  <c r="H583" i="1"/>
  <c r="I583" i="1" s="1"/>
  <c r="O582" i="1"/>
  <c r="P582" i="1" s="1"/>
  <c r="H582" i="1"/>
  <c r="I582" i="1" s="1"/>
  <c r="N581" i="1"/>
  <c r="O581" i="1" s="1"/>
  <c r="P581" i="1" s="1"/>
  <c r="H581" i="1"/>
  <c r="I581" i="1" s="1"/>
  <c r="N580" i="1"/>
  <c r="O580" i="1" s="1"/>
  <c r="P580" i="1" s="1"/>
  <c r="H580" i="1"/>
  <c r="I580" i="1" s="1"/>
  <c r="N579" i="1"/>
  <c r="O579" i="1" s="1"/>
  <c r="P579" i="1" s="1"/>
  <c r="K579" i="1"/>
  <c r="H579" i="1"/>
  <c r="I579" i="1" s="1"/>
  <c r="N578" i="1"/>
  <c r="O578" i="1" s="1"/>
  <c r="P578" i="1" s="1"/>
  <c r="H578" i="1"/>
  <c r="I578" i="1" s="1"/>
  <c r="N577" i="1"/>
  <c r="O577" i="1" s="1"/>
  <c r="P577" i="1" s="1"/>
  <c r="K577" i="1"/>
  <c r="H577" i="1"/>
  <c r="I577" i="1" s="1"/>
  <c r="N576" i="1"/>
  <c r="O576" i="1" s="1"/>
  <c r="P576" i="1" s="1"/>
  <c r="K576" i="1"/>
  <c r="H576" i="1"/>
  <c r="I576" i="1" s="1"/>
  <c r="N574" i="1"/>
  <c r="O574" i="1" s="1"/>
  <c r="P574" i="1" s="1"/>
  <c r="K574" i="1"/>
  <c r="H574" i="1"/>
  <c r="I574" i="1" s="1"/>
  <c r="N573" i="1"/>
  <c r="O573" i="1" s="1"/>
  <c r="P573" i="1" s="1"/>
  <c r="K573" i="1"/>
  <c r="H573" i="1"/>
  <c r="I573" i="1" s="1"/>
  <c r="N572" i="1"/>
  <c r="O572" i="1" s="1"/>
  <c r="P572" i="1" s="1"/>
  <c r="K572" i="1"/>
  <c r="H572" i="1"/>
  <c r="I572" i="1" s="1"/>
  <c r="N571" i="1"/>
  <c r="O571" i="1" s="1"/>
  <c r="P571" i="1" s="1"/>
  <c r="K571" i="1"/>
  <c r="H571" i="1"/>
  <c r="I571" i="1" s="1"/>
  <c r="N570" i="1"/>
  <c r="O570" i="1" s="1"/>
  <c r="P570" i="1" s="1"/>
  <c r="N569" i="1"/>
  <c r="O569" i="1" s="1"/>
  <c r="P569" i="1" s="1"/>
  <c r="K569" i="1"/>
  <c r="H569" i="1"/>
  <c r="I569" i="1" s="1"/>
  <c r="N568" i="1"/>
  <c r="O568" i="1" s="1"/>
  <c r="P568" i="1" s="1"/>
  <c r="K568" i="1"/>
  <c r="H568" i="1"/>
  <c r="I568" i="1" s="1"/>
  <c r="N567" i="1"/>
  <c r="O567" i="1" s="1"/>
  <c r="P567" i="1" s="1"/>
  <c r="K567" i="1"/>
  <c r="H567" i="1"/>
  <c r="I567" i="1" s="1"/>
  <c r="N566" i="1"/>
  <c r="O566" i="1" s="1"/>
  <c r="P566" i="1" s="1"/>
  <c r="K566" i="1"/>
  <c r="H566" i="1"/>
  <c r="I566" i="1" s="1"/>
  <c r="N565" i="1"/>
  <c r="O565" i="1" s="1"/>
  <c r="P565" i="1" s="1"/>
  <c r="K565" i="1"/>
  <c r="H565" i="1"/>
  <c r="I565" i="1" s="1"/>
  <c r="N564" i="1"/>
  <c r="O564" i="1" s="1"/>
  <c r="P564" i="1" s="1"/>
  <c r="K564" i="1"/>
  <c r="H564" i="1"/>
  <c r="I564" i="1" s="1"/>
  <c r="N563" i="1"/>
  <c r="O563" i="1" s="1"/>
  <c r="P563" i="1" s="1"/>
  <c r="K563" i="1"/>
  <c r="H563" i="1"/>
  <c r="I563" i="1" s="1"/>
  <c r="N562" i="1"/>
  <c r="O562" i="1" s="1"/>
  <c r="P562" i="1" s="1"/>
  <c r="K562" i="1"/>
  <c r="H562" i="1"/>
  <c r="I562" i="1" s="1"/>
  <c r="O561" i="1"/>
  <c r="P561" i="1" s="1"/>
  <c r="H561" i="1"/>
  <c r="I561" i="1" s="1"/>
  <c r="O560" i="1"/>
  <c r="P560" i="1" s="1"/>
  <c r="H560" i="1"/>
  <c r="I560" i="1" s="1"/>
  <c r="N559" i="1"/>
  <c r="O559" i="1" s="1"/>
  <c r="P559" i="1" s="1"/>
  <c r="H559" i="1"/>
  <c r="I559" i="1" s="1"/>
  <c r="N558" i="1"/>
  <c r="O558" i="1" s="1"/>
  <c r="P558" i="1" s="1"/>
  <c r="K558" i="1"/>
  <c r="H558" i="1"/>
  <c r="I558" i="1" s="1"/>
  <c r="N557" i="1"/>
  <c r="O557" i="1" s="1"/>
  <c r="P557" i="1" s="1"/>
  <c r="K557" i="1"/>
  <c r="H557" i="1"/>
  <c r="I557" i="1" s="1"/>
  <c r="N556" i="1"/>
  <c r="O556" i="1" s="1"/>
  <c r="P556" i="1" s="1"/>
  <c r="H556" i="1"/>
  <c r="I556" i="1" s="1"/>
  <c r="N555" i="1"/>
  <c r="O555" i="1" s="1"/>
  <c r="P555" i="1" s="1"/>
  <c r="N554" i="1"/>
  <c r="O554" i="1" s="1"/>
  <c r="P554" i="1" s="1"/>
  <c r="H554" i="1"/>
  <c r="I554" i="1" s="1"/>
  <c r="N553" i="1"/>
  <c r="O553" i="1" s="1"/>
  <c r="P553" i="1" s="1"/>
  <c r="H553" i="1"/>
  <c r="I553" i="1" s="1"/>
  <c r="N552" i="1"/>
  <c r="O552" i="1" s="1"/>
  <c r="P552" i="1" s="1"/>
  <c r="K552" i="1"/>
  <c r="H552" i="1"/>
  <c r="I552" i="1" s="1"/>
  <c r="N551" i="1"/>
  <c r="O551" i="1" s="1"/>
  <c r="P551" i="1" s="1"/>
  <c r="H551" i="1"/>
  <c r="I551" i="1" s="1"/>
  <c r="N550" i="1"/>
  <c r="O550" i="1" s="1"/>
  <c r="P550" i="1" s="1"/>
  <c r="H550" i="1"/>
  <c r="I550" i="1" s="1"/>
  <c r="N549" i="1"/>
  <c r="O549" i="1" s="1"/>
  <c r="P549" i="1" s="1"/>
  <c r="K549" i="1"/>
  <c r="H549" i="1"/>
  <c r="I549" i="1" s="1"/>
  <c r="N548" i="1"/>
  <c r="O548" i="1" s="1"/>
  <c r="P548" i="1" s="1"/>
  <c r="K548" i="1"/>
  <c r="H548" i="1"/>
  <c r="I548" i="1" s="1"/>
  <c r="N546" i="1"/>
  <c r="O546" i="1" s="1"/>
  <c r="P546" i="1" s="1"/>
  <c r="K546" i="1"/>
  <c r="H546" i="1"/>
  <c r="I546" i="1" s="1"/>
  <c r="N541" i="1"/>
  <c r="O541" i="1" s="1"/>
  <c r="P541" i="1" s="1"/>
  <c r="K541" i="1"/>
  <c r="H541" i="1"/>
  <c r="I541" i="1" s="1"/>
  <c r="N540" i="1"/>
  <c r="O540" i="1" s="1"/>
  <c r="P540" i="1" s="1"/>
  <c r="K540" i="1"/>
  <c r="H540" i="1"/>
  <c r="I540" i="1" s="1"/>
  <c r="N539" i="1"/>
  <c r="O539" i="1" s="1"/>
  <c r="H539" i="1"/>
  <c r="N538" i="1"/>
  <c r="O538" i="1" s="1"/>
  <c r="H538" i="1"/>
  <c r="N537" i="1"/>
  <c r="O537" i="1" s="1"/>
  <c r="H537" i="1"/>
  <c r="N536" i="1"/>
  <c r="O536" i="1" s="1"/>
  <c r="H536" i="1"/>
  <c r="N535" i="1"/>
  <c r="O535" i="1" s="1"/>
  <c r="P535" i="1" s="1"/>
  <c r="K535" i="1"/>
  <c r="H535" i="1"/>
  <c r="I535" i="1" s="1"/>
  <c r="N534" i="1"/>
  <c r="O534" i="1" s="1"/>
  <c r="P534" i="1" s="1"/>
  <c r="K534" i="1"/>
  <c r="H534" i="1"/>
  <c r="I534" i="1" s="1"/>
  <c r="N533" i="1"/>
  <c r="O533" i="1" s="1"/>
  <c r="N532" i="1"/>
  <c r="O532" i="1" s="1"/>
  <c r="P532" i="1" s="1"/>
  <c r="K532" i="1"/>
  <c r="H532" i="1"/>
  <c r="I532" i="1" s="1"/>
  <c r="N531" i="1"/>
  <c r="O531" i="1" s="1"/>
  <c r="P531" i="1" s="1"/>
  <c r="K531" i="1"/>
  <c r="H531" i="1"/>
  <c r="I531" i="1" s="1"/>
  <c r="N530" i="1"/>
  <c r="O530" i="1" s="1"/>
  <c r="N529" i="1"/>
  <c r="O529" i="1" s="1"/>
  <c r="P529" i="1" s="1"/>
  <c r="K529" i="1"/>
  <c r="H529" i="1"/>
  <c r="I529" i="1" s="1"/>
  <c r="N527" i="1"/>
  <c r="O527" i="1" s="1"/>
  <c r="H527" i="1"/>
  <c r="N526" i="1"/>
  <c r="O526" i="1" s="1"/>
  <c r="N525" i="1"/>
  <c r="O525" i="1" s="1"/>
  <c r="N524" i="1"/>
  <c r="O524" i="1" s="1"/>
  <c r="N523" i="1"/>
  <c r="O523" i="1" s="1"/>
  <c r="P523" i="1" s="1"/>
  <c r="K523" i="1"/>
  <c r="H523" i="1"/>
  <c r="I523" i="1" s="1"/>
  <c r="N522" i="1"/>
  <c r="O522" i="1" s="1"/>
  <c r="P522" i="1" s="1"/>
  <c r="K522" i="1"/>
  <c r="H522" i="1"/>
  <c r="I522" i="1" s="1"/>
  <c r="N521" i="1"/>
  <c r="O521" i="1" s="1"/>
  <c r="P521" i="1" s="1"/>
  <c r="K521" i="1"/>
  <c r="H521" i="1"/>
  <c r="I521" i="1" s="1"/>
  <c r="N520" i="1"/>
  <c r="O520" i="1" s="1"/>
  <c r="P520" i="1" s="1"/>
  <c r="K520" i="1"/>
  <c r="H520" i="1"/>
  <c r="I520" i="1" s="1"/>
  <c r="N519" i="1"/>
  <c r="O519" i="1" s="1"/>
  <c r="P519" i="1" s="1"/>
  <c r="Q519" i="1" s="1"/>
  <c r="R519" i="1" s="1"/>
  <c r="N518" i="1"/>
  <c r="O518" i="1" s="1"/>
  <c r="P518" i="1" s="1"/>
  <c r="N517" i="1"/>
  <c r="O517" i="1" s="1"/>
  <c r="P517" i="1" s="1"/>
  <c r="K517" i="1"/>
  <c r="H517" i="1"/>
  <c r="I517" i="1" s="1"/>
  <c r="N516" i="1"/>
  <c r="O516" i="1" s="1"/>
  <c r="P516" i="1" s="1"/>
  <c r="Q516" i="1" s="1"/>
  <c r="R516" i="1" s="1"/>
  <c r="K516" i="1"/>
  <c r="H516" i="1"/>
  <c r="I516" i="1" s="1"/>
  <c r="N515" i="1"/>
  <c r="O515" i="1" s="1"/>
  <c r="P515" i="1" s="1"/>
  <c r="K515" i="1"/>
  <c r="H515" i="1"/>
  <c r="I515" i="1" s="1"/>
  <c r="N514" i="1"/>
  <c r="O514" i="1" s="1"/>
  <c r="P514" i="1" s="1"/>
  <c r="N513" i="1"/>
  <c r="O513" i="1" s="1"/>
  <c r="P513" i="1" s="1"/>
  <c r="K513" i="1"/>
  <c r="H513" i="1"/>
  <c r="I513" i="1" s="1"/>
  <c r="N512" i="1"/>
  <c r="O512" i="1" s="1"/>
  <c r="P512" i="1" s="1"/>
  <c r="K512" i="1"/>
  <c r="H512" i="1"/>
  <c r="I512" i="1" s="1"/>
  <c r="N511" i="1"/>
  <c r="O511" i="1" s="1"/>
  <c r="P511" i="1" s="1"/>
  <c r="Q511" i="1" s="1"/>
  <c r="R511" i="1" s="1"/>
  <c r="N510" i="1"/>
  <c r="O510" i="1" s="1"/>
  <c r="P510" i="1" s="1"/>
  <c r="K510" i="1"/>
  <c r="H510" i="1"/>
  <c r="I510" i="1" s="1"/>
  <c r="N509" i="1"/>
  <c r="O509" i="1" s="1"/>
  <c r="P509" i="1" s="1"/>
  <c r="K509" i="1"/>
  <c r="H509" i="1"/>
  <c r="I509" i="1" s="1"/>
  <c r="N508" i="1"/>
  <c r="O508" i="1" s="1"/>
  <c r="P508" i="1" s="1"/>
  <c r="Q508" i="1" s="1"/>
  <c r="R508" i="1" s="1"/>
  <c r="N507" i="1"/>
  <c r="O507" i="1" s="1"/>
  <c r="P507" i="1" s="1"/>
  <c r="Q507" i="1" s="1"/>
  <c r="R507" i="1" s="1"/>
  <c r="N506" i="1"/>
  <c r="O506" i="1" s="1"/>
  <c r="P506" i="1" s="1"/>
  <c r="N505" i="1"/>
  <c r="O505" i="1" s="1"/>
  <c r="P505" i="1" s="1"/>
  <c r="K505" i="1"/>
  <c r="H505" i="1"/>
  <c r="I505" i="1" s="1"/>
  <c r="N504" i="1"/>
  <c r="O504" i="1" s="1"/>
  <c r="P504" i="1" s="1"/>
  <c r="K504" i="1"/>
  <c r="H504" i="1"/>
  <c r="I504" i="1" s="1"/>
  <c r="N503" i="1"/>
  <c r="O503" i="1" s="1"/>
  <c r="P503" i="1" s="1"/>
  <c r="Q503" i="1" s="1"/>
  <c r="R503" i="1" s="1"/>
  <c r="N502" i="1"/>
  <c r="O502" i="1" s="1"/>
  <c r="P502" i="1" s="1"/>
  <c r="Q502" i="1" s="1"/>
  <c r="R502" i="1" s="1"/>
  <c r="N501" i="1"/>
  <c r="O501" i="1" s="1"/>
  <c r="P501" i="1" s="1"/>
  <c r="Q501" i="1" s="1"/>
  <c r="R501" i="1" s="1"/>
  <c r="N500" i="1"/>
  <c r="O500" i="1" s="1"/>
  <c r="P500" i="1" s="1"/>
  <c r="N499" i="1"/>
  <c r="O499" i="1" s="1"/>
  <c r="P499" i="1" s="1"/>
  <c r="N498" i="1"/>
  <c r="O498" i="1" s="1"/>
  <c r="P498" i="1" s="1"/>
  <c r="K498" i="1"/>
  <c r="H498" i="1"/>
  <c r="I498" i="1" s="1"/>
  <c r="N497" i="1"/>
  <c r="O497" i="1" s="1"/>
  <c r="P497" i="1" s="1"/>
  <c r="K497" i="1"/>
  <c r="H497" i="1"/>
  <c r="I497" i="1" s="1"/>
  <c r="N496" i="1"/>
  <c r="O496" i="1" s="1"/>
  <c r="P496" i="1" s="1"/>
  <c r="K496" i="1"/>
  <c r="H496" i="1"/>
  <c r="I496" i="1" s="1"/>
  <c r="N495" i="1"/>
  <c r="O495" i="1" s="1"/>
  <c r="P495" i="1" s="1"/>
  <c r="K495" i="1"/>
  <c r="H495" i="1"/>
  <c r="I495" i="1" s="1"/>
  <c r="N494" i="1"/>
  <c r="O494" i="1" s="1"/>
  <c r="P494" i="1" s="1"/>
  <c r="K494" i="1"/>
  <c r="H494" i="1"/>
  <c r="I494" i="1" s="1"/>
  <c r="N493" i="1"/>
  <c r="O493" i="1" s="1"/>
  <c r="P493" i="1" s="1"/>
  <c r="K493" i="1"/>
  <c r="H493" i="1"/>
  <c r="I493" i="1" s="1"/>
  <c r="N492" i="1"/>
  <c r="O492" i="1" s="1"/>
  <c r="P492" i="1" s="1"/>
  <c r="K492" i="1"/>
  <c r="H492" i="1"/>
  <c r="I492" i="1" s="1"/>
  <c r="N491" i="1"/>
  <c r="O491" i="1" s="1"/>
  <c r="P491" i="1" s="1"/>
  <c r="K491" i="1"/>
  <c r="H491" i="1"/>
  <c r="I491" i="1" s="1"/>
  <c r="N490" i="1"/>
  <c r="O490" i="1" s="1"/>
  <c r="P490" i="1" s="1"/>
  <c r="K490" i="1"/>
  <c r="H490" i="1"/>
  <c r="I490" i="1" s="1"/>
  <c r="N489" i="1"/>
  <c r="O489" i="1" s="1"/>
  <c r="H489" i="1"/>
  <c r="N482" i="1"/>
  <c r="O482" i="1" s="1"/>
  <c r="P482" i="1" s="1"/>
  <c r="K482" i="1"/>
  <c r="H482" i="1"/>
  <c r="I482" i="1" s="1"/>
  <c r="N481" i="1"/>
  <c r="O481" i="1" s="1"/>
  <c r="H481" i="1"/>
  <c r="N474" i="1"/>
  <c r="O474" i="1" s="1"/>
  <c r="P474" i="1" s="1"/>
  <c r="K474" i="1"/>
  <c r="H474" i="1"/>
  <c r="I474" i="1" s="1"/>
  <c r="N473" i="1"/>
  <c r="O473" i="1" s="1"/>
  <c r="P473" i="1" s="1"/>
  <c r="K473" i="1"/>
  <c r="H473" i="1"/>
  <c r="I473" i="1" s="1"/>
  <c r="N466" i="1"/>
  <c r="O466" i="1" s="1"/>
  <c r="P466" i="1" s="1"/>
  <c r="K466" i="1"/>
  <c r="H466" i="1"/>
  <c r="I466" i="1" s="1"/>
  <c r="N459" i="1"/>
  <c r="O459" i="1" s="1"/>
  <c r="P459" i="1" s="1"/>
  <c r="K459" i="1"/>
  <c r="H459" i="1"/>
  <c r="I459" i="1" s="1"/>
  <c r="N452" i="1"/>
  <c r="O452" i="1" s="1"/>
  <c r="P452" i="1" s="1"/>
  <c r="K452" i="1"/>
  <c r="H452" i="1"/>
  <c r="I452" i="1" s="1"/>
  <c r="N445" i="1"/>
  <c r="O445" i="1" s="1"/>
  <c r="P445" i="1" s="1"/>
  <c r="K445" i="1"/>
  <c r="H445" i="1"/>
  <c r="I445" i="1" s="1"/>
  <c r="N438" i="1"/>
  <c r="O438" i="1" s="1"/>
  <c r="P438" i="1" s="1"/>
  <c r="K438" i="1"/>
  <c r="H438" i="1"/>
  <c r="I438" i="1" s="1"/>
  <c r="N437" i="1"/>
  <c r="O437" i="1" s="1"/>
  <c r="H437" i="1"/>
  <c r="N436" i="1"/>
  <c r="O436" i="1" s="1"/>
  <c r="H436" i="1"/>
  <c r="N435" i="1"/>
  <c r="O435" i="1" s="1"/>
  <c r="H435" i="1"/>
  <c r="N434" i="1"/>
  <c r="O434" i="1" s="1"/>
  <c r="H434" i="1"/>
  <c r="N433" i="1"/>
  <c r="O433" i="1" s="1"/>
  <c r="H433" i="1"/>
  <c r="N432" i="1"/>
  <c r="O432" i="1" s="1"/>
  <c r="N431" i="1"/>
  <c r="O431" i="1" s="1"/>
  <c r="P431" i="1" s="1"/>
  <c r="K431" i="1"/>
  <c r="H431" i="1"/>
  <c r="I431" i="1" s="1"/>
  <c r="N430" i="1"/>
  <c r="O430" i="1" s="1"/>
  <c r="P430" i="1" s="1"/>
  <c r="K430" i="1"/>
  <c r="H430" i="1"/>
  <c r="I430" i="1" s="1"/>
  <c r="N429" i="1"/>
  <c r="O429" i="1" s="1"/>
  <c r="P429" i="1" s="1"/>
  <c r="K429" i="1"/>
  <c r="H429" i="1"/>
  <c r="I429" i="1" s="1"/>
  <c r="N428" i="1"/>
  <c r="O428" i="1" s="1"/>
  <c r="P428" i="1" s="1"/>
  <c r="K428" i="1"/>
  <c r="H428" i="1"/>
  <c r="I428" i="1" s="1"/>
  <c r="N427" i="1"/>
  <c r="O427" i="1" s="1"/>
  <c r="H427" i="1"/>
  <c r="N426" i="1"/>
  <c r="O426" i="1" s="1"/>
  <c r="N425" i="1"/>
  <c r="O425" i="1" s="1"/>
  <c r="P424" i="1"/>
  <c r="H424" i="1"/>
  <c r="I424" i="1" s="1"/>
  <c r="P423" i="1"/>
  <c r="H423" i="1"/>
  <c r="I423" i="1" s="1"/>
  <c r="P422" i="1"/>
  <c r="H422" i="1"/>
  <c r="I422" i="1" s="1"/>
  <c r="P421" i="1"/>
  <c r="H421" i="1"/>
  <c r="I421" i="1" s="1"/>
  <c r="N420" i="1"/>
  <c r="O420" i="1" s="1"/>
  <c r="P420" i="1" s="1"/>
  <c r="K420" i="1"/>
  <c r="H420" i="1"/>
  <c r="I420" i="1" s="1"/>
  <c r="N419" i="1"/>
  <c r="O419" i="1" s="1"/>
  <c r="P419" i="1" s="1"/>
  <c r="K419" i="1"/>
  <c r="H419" i="1"/>
  <c r="I419" i="1" s="1"/>
  <c r="O418" i="1"/>
  <c r="P418" i="1" s="1"/>
  <c r="P417" i="1"/>
  <c r="N416" i="1"/>
  <c r="O416" i="1" s="1"/>
  <c r="P416" i="1" s="1"/>
  <c r="K416" i="1"/>
  <c r="H416" i="1"/>
  <c r="I416" i="1" s="1"/>
  <c r="N415" i="1"/>
  <c r="O415" i="1" s="1"/>
  <c r="P415" i="1" s="1"/>
  <c r="K415" i="1"/>
  <c r="H415" i="1"/>
  <c r="I415" i="1" s="1"/>
  <c r="N414" i="1"/>
  <c r="O414" i="1" s="1"/>
  <c r="P414" i="1" s="1"/>
  <c r="K414" i="1"/>
  <c r="H414" i="1"/>
  <c r="I414" i="1" s="1"/>
  <c r="N413" i="1"/>
  <c r="O413" i="1" s="1"/>
  <c r="P413" i="1" s="1"/>
  <c r="K413" i="1"/>
  <c r="H413" i="1"/>
  <c r="I413" i="1" s="1"/>
  <c r="N412" i="1"/>
  <c r="O412" i="1" s="1"/>
  <c r="P412" i="1" s="1"/>
  <c r="K412" i="1"/>
  <c r="H412" i="1"/>
  <c r="I412" i="1" s="1"/>
  <c r="N411" i="1"/>
  <c r="O411" i="1" s="1"/>
  <c r="P411" i="1" s="1"/>
  <c r="K411" i="1"/>
  <c r="H411" i="1"/>
  <c r="I411" i="1" s="1"/>
  <c r="N410" i="1"/>
  <c r="O410" i="1" s="1"/>
  <c r="P410" i="1" s="1"/>
  <c r="H410" i="1"/>
  <c r="I410" i="1" s="1"/>
  <c r="N409" i="1"/>
  <c r="O409" i="1" s="1"/>
  <c r="P409" i="1" s="1"/>
  <c r="H409" i="1"/>
  <c r="I409" i="1" s="1"/>
  <c r="N408" i="1"/>
  <c r="O408" i="1" s="1"/>
  <c r="P408" i="1" s="1"/>
  <c r="K408" i="1"/>
  <c r="H408" i="1"/>
  <c r="I408" i="1" s="1"/>
  <c r="N407" i="1"/>
  <c r="O407" i="1" s="1"/>
  <c r="P407" i="1" s="1"/>
  <c r="K407" i="1"/>
  <c r="H407" i="1"/>
  <c r="I407" i="1" s="1"/>
  <c r="N406" i="1"/>
  <c r="O406" i="1" s="1"/>
  <c r="P406" i="1" s="1"/>
  <c r="K406" i="1"/>
  <c r="H406" i="1"/>
  <c r="I406" i="1" s="1"/>
  <c r="N405" i="1"/>
  <c r="O405" i="1" s="1"/>
  <c r="P405" i="1" s="1"/>
  <c r="K405" i="1"/>
  <c r="H405" i="1"/>
  <c r="I405" i="1" s="1"/>
  <c r="N404" i="1"/>
  <c r="O404" i="1" s="1"/>
  <c r="P404" i="1" s="1"/>
  <c r="K404" i="1"/>
  <c r="H404" i="1"/>
  <c r="I404" i="1" s="1"/>
  <c r="N403" i="1"/>
  <c r="O403" i="1" s="1"/>
  <c r="P403" i="1" s="1"/>
  <c r="K403" i="1"/>
  <c r="H403" i="1"/>
  <c r="I403" i="1" s="1"/>
  <c r="H402" i="1"/>
  <c r="I402" i="1" s="1"/>
  <c r="N401" i="1"/>
  <c r="O401" i="1" s="1"/>
  <c r="P401" i="1" s="1"/>
  <c r="N400" i="1"/>
  <c r="O400" i="1" s="1"/>
  <c r="P400" i="1" s="1"/>
  <c r="P399" i="1"/>
  <c r="N398" i="1"/>
  <c r="O398" i="1" s="1"/>
  <c r="P398" i="1" s="1"/>
  <c r="K398" i="1"/>
  <c r="H398" i="1"/>
  <c r="I398" i="1" s="1"/>
  <c r="N397" i="1"/>
  <c r="O397" i="1" s="1"/>
  <c r="P397" i="1" s="1"/>
  <c r="K397" i="1"/>
  <c r="H397" i="1"/>
  <c r="I397" i="1" s="1"/>
  <c r="N396" i="1"/>
  <c r="O396" i="1" s="1"/>
  <c r="P396" i="1" s="1"/>
  <c r="H396" i="1"/>
  <c r="I396" i="1" s="1"/>
  <c r="N395" i="1"/>
  <c r="O395" i="1" s="1"/>
  <c r="P395" i="1" s="1"/>
  <c r="N394" i="1"/>
  <c r="O394" i="1" s="1"/>
  <c r="P394" i="1" s="1"/>
  <c r="K394" i="1"/>
  <c r="H394" i="1"/>
  <c r="I394" i="1" s="1"/>
  <c r="Q394" i="1" s="1"/>
  <c r="R394" i="1" s="1"/>
  <c r="N393" i="1"/>
  <c r="O393" i="1" s="1"/>
  <c r="P393" i="1" s="1"/>
  <c r="K393" i="1"/>
  <c r="H393" i="1"/>
  <c r="I393" i="1" s="1"/>
  <c r="N391" i="1"/>
  <c r="O391" i="1" s="1"/>
  <c r="P391" i="1" s="1"/>
  <c r="K391" i="1"/>
  <c r="H391" i="1"/>
  <c r="I391" i="1" s="1"/>
  <c r="N390" i="1"/>
  <c r="O390" i="1" s="1"/>
  <c r="P390" i="1" s="1"/>
  <c r="Q390" i="1" s="1"/>
  <c r="R390" i="1" s="1"/>
  <c r="N389" i="1"/>
  <c r="O389" i="1" s="1"/>
  <c r="P389" i="1" s="1"/>
  <c r="N388" i="1"/>
  <c r="O388" i="1" s="1"/>
  <c r="P388" i="1" s="1"/>
  <c r="N387" i="1"/>
  <c r="O387" i="1" s="1"/>
  <c r="P387" i="1" s="1"/>
  <c r="K387" i="1"/>
  <c r="H387" i="1"/>
  <c r="I387" i="1" s="1"/>
  <c r="N386" i="1"/>
  <c r="O386" i="1" s="1"/>
  <c r="P386" i="1" s="1"/>
  <c r="K386" i="1"/>
  <c r="H386" i="1"/>
  <c r="I386" i="1" s="1"/>
  <c r="N385" i="1"/>
  <c r="O385" i="1" s="1"/>
  <c r="P385" i="1" s="1"/>
  <c r="K385" i="1"/>
  <c r="H385" i="1"/>
  <c r="I385" i="1" s="1"/>
  <c r="N384" i="1"/>
  <c r="O384" i="1" s="1"/>
  <c r="P384" i="1" s="1"/>
  <c r="N383" i="1"/>
  <c r="O383" i="1" s="1"/>
  <c r="P383" i="1" s="1"/>
  <c r="N382" i="1"/>
  <c r="O382" i="1" s="1"/>
  <c r="P382" i="1" s="1"/>
  <c r="N381" i="1"/>
  <c r="O381" i="1" s="1"/>
  <c r="P381" i="1" s="1"/>
  <c r="N380" i="1"/>
  <c r="O380" i="1" s="1"/>
  <c r="P380" i="1" s="1"/>
  <c r="Q380" i="1" s="1"/>
  <c r="R380" i="1" s="1"/>
  <c r="N379" i="1"/>
  <c r="O379" i="1" s="1"/>
  <c r="P379" i="1" s="1"/>
  <c r="N378" i="1"/>
  <c r="O378" i="1" s="1"/>
  <c r="P378" i="1" s="1"/>
  <c r="K378" i="1"/>
  <c r="H378" i="1"/>
  <c r="I378" i="1" s="1"/>
  <c r="N377" i="1"/>
  <c r="O377" i="1" s="1"/>
  <c r="P377" i="1" s="1"/>
  <c r="K377" i="1"/>
  <c r="H377" i="1"/>
  <c r="I377" i="1" s="1"/>
  <c r="N376" i="1"/>
  <c r="O376" i="1" s="1"/>
  <c r="P376" i="1" s="1"/>
  <c r="N375" i="1"/>
  <c r="O375" i="1" s="1"/>
  <c r="P375" i="1" s="1"/>
  <c r="K375" i="1"/>
  <c r="H375" i="1"/>
  <c r="I375" i="1" s="1"/>
  <c r="N374" i="1"/>
  <c r="O374" i="1" s="1"/>
  <c r="P374" i="1" s="1"/>
  <c r="K374" i="1"/>
  <c r="H374" i="1"/>
  <c r="I374" i="1" s="1"/>
  <c r="N373" i="1"/>
  <c r="O373" i="1" s="1"/>
  <c r="P373" i="1" s="1"/>
  <c r="K373" i="1"/>
  <c r="H373" i="1"/>
  <c r="I373" i="1" s="1"/>
  <c r="N372" i="1"/>
  <c r="O372" i="1" s="1"/>
  <c r="P372" i="1" s="1"/>
  <c r="K372" i="1"/>
  <c r="H372" i="1"/>
  <c r="I372" i="1" s="1"/>
  <c r="N371" i="1"/>
  <c r="O371" i="1" s="1"/>
  <c r="P371" i="1" s="1"/>
  <c r="K371" i="1"/>
  <c r="H371" i="1"/>
  <c r="I371" i="1" s="1"/>
  <c r="N370" i="1"/>
  <c r="O370" i="1" s="1"/>
  <c r="P370" i="1" s="1"/>
  <c r="K370" i="1"/>
  <c r="H370" i="1"/>
  <c r="I370" i="1" s="1"/>
  <c r="N369" i="1"/>
  <c r="O369" i="1" s="1"/>
  <c r="P369" i="1" s="1"/>
  <c r="K369" i="1"/>
  <c r="H369" i="1"/>
  <c r="I369" i="1" s="1"/>
  <c r="N368" i="1"/>
  <c r="O368" i="1" s="1"/>
  <c r="P368" i="1" s="1"/>
  <c r="K368" i="1"/>
  <c r="H368" i="1"/>
  <c r="I368" i="1" s="1"/>
  <c r="N367" i="1"/>
  <c r="O367" i="1" s="1"/>
  <c r="P367" i="1" s="1"/>
  <c r="K367" i="1"/>
  <c r="H367" i="1"/>
  <c r="I367" i="1" s="1"/>
  <c r="N366" i="1"/>
  <c r="O366" i="1" s="1"/>
  <c r="P366" i="1" s="1"/>
  <c r="K366" i="1"/>
  <c r="H366" i="1"/>
  <c r="I366" i="1" s="1"/>
  <c r="N365" i="1"/>
  <c r="O365" i="1" s="1"/>
  <c r="P365" i="1" s="1"/>
  <c r="K365" i="1"/>
  <c r="H365" i="1"/>
  <c r="I365" i="1" s="1"/>
  <c r="N364" i="1"/>
  <c r="O364" i="1" s="1"/>
  <c r="P364" i="1" s="1"/>
  <c r="K364" i="1"/>
  <c r="H364" i="1"/>
  <c r="I364" i="1" s="1"/>
  <c r="N363" i="1"/>
  <c r="O363" i="1" s="1"/>
  <c r="P363" i="1" s="1"/>
  <c r="K363" i="1"/>
  <c r="H363" i="1"/>
  <c r="I363" i="1" s="1"/>
  <c r="N362" i="1"/>
  <c r="O362" i="1" s="1"/>
  <c r="P362" i="1" s="1"/>
  <c r="N361" i="1"/>
  <c r="O361" i="1" s="1"/>
  <c r="P361" i="1" s="1"/>
  <c r="K361" i="1"/>
  <c r="H361" i="1"/>
  <c r="I361" i="1" s="1"/>
  <c r="N360" i="1"/>
  <c r="O360" i="1" s="1"/>
  <c r="P360" i="1" s="1"/>
  <c r="K360" i="1"/>
  <c r="H360" i="1"/>
  <c r="I360" i="1" s="1"/>
  <c r="O359" i="1"/>
  <c r="P359" i="1" s="1"/>
  <c r="O358" i="1"/>
  <c r="P358" i="1" s="1"/>
  <c r="N357" i="1"/>
  <c r="O357" i="1" s="1"/>
  <c r="P357" i="1" s="1"/>
  <c r="K357" i="1"/>
  <c r="H357" i="1"/>
  <c r="I357" i="1" s="1"/>
  <c r="N356" i="1"/>
  <c r="O356" i="1" s="1"/>
  <c r="P356" i="1" s="1"/>
  <c r="K356" i="1"/>
  <c r="H356" i="1"/>
  <c r="I356" i="1" s="1"/>
  <c r="O355" i="1"/>
  <c r="P355" i="1" s="1"/>
  <c r="N354" i="1"/>
  <c r="O354" i="1" s="1"/>
  <c r="P354" i="1" s="1"/>
  <c r="N353" i="1"/>
  <c r="O353" i="1" s="1"/>
  <c r="P353" i="1" s="1"/>
  <c r="N352" i="1"/>
  <c r="O352" i="1" s="1"/>
  <c r="P352" i="1" s="1"/>
  <c r="N351" i="1"/>
  <c r="O351" i="1" s="1"/>
  <c r="P351" i="1" s="1"/>
  <c r="N350" i="1"/>
  <c r="O350" i="1" s="1"/>
  <c r="P350" i="1" s="1"/>
  <c r="K350" i="1"/>
  <c r="H350" i="1"/>
  <c r="I350" i="1" s="1"/>
  <c r="N349" i="1"/>
  <c r="O349" i="1" s="1"/>
  <c r="P349" i="1" s="1"/>
  <c r="K349" i="1"/>
  <c r="H349" i="1"/>
  <c r="I349" i="1" s="1"/>
  <c r="N348" i="1"/>
  <c r="O348" i="1" s="1"/>
  <c r="P348" i="1" s="1"/>
  <c r="K348" i="1"/>
  <c r="H348" i="1"/>
  <c r="I348" i="1" s="1"/>
  <c r="N347" i="1"/>
  <c r="O347" i="1" s="1"/>
  <c r="P347" i="1" s="1"/>
  <c r="K347" i="1"/>
  <c r="H347" i="1"/>
  <c r="I347" i="1" s="1"/>
  <c r="N346" i="1"/>
  <c r="O346" i="1" s="1"/>
  <c r="P346" i="1" s="1"/>
  <c r="K346" i="1"/>
  <c r="H346" i="1"/>
  <c r="I346" i="1" s="1"/>
  <c r="N345" i="1"/>
  <c r="O345" i="1" s="1"/>
  <c r="P345" i="1" s="1"/>
  <c r="K345" i="1"/>
  <c r="H345" i="1"/>
  <c r="I345" i="1" s="1"/>
  <c r="N343" i="1"/>
  <c r="O343" i="1" s="1"/>
  <c r="P343" i="1" s="1"/>
  <c r="K343" i="1"/>
  <c r="H343" i="1"/>
  <c r="I343" i="1" s="1"/>
  <c r="O342" i="1"/>
  <c r="P342" i="1" s="1"/>
  <c r="Q342" i="1" s="1"/>
  <c r="R342" i="1" s="1"/>
  <c r="N341" i="1"/>
  <c r="O341" i="1" s="1"/>
  <c r="P341" i="1" s="1"/>
  <c r="K341" i="1"/>
  <c r="H341" i="1"/>
  <c r="I341" i="1" s="1"/>
  <c r="N340" i="1"/>
  <c r="O340" i="1" s="1"/>
  <c r="P340" i="1" s="1"/>
  <c r="K340" i="1"/>
  <c r="H340" i="1"/>
  <c r="I340" i="1" s="1"/>
  <c r="N339" i="1"/>
  <c r="O339" i="1" s="1"/>
  <c r="P339" i="1" s="1"/>
  <c r="N338" i="1"/>
  <c r="O338" i="1" s="1"/>
  <c r="P338" i="1" s="1"/>
  <c r="Q338" i="1" s="1"/>
  <c r="R338" i="1" s="1"/>
  <c r="N337" i="1"/>
  <c r="O337" i="1" s="1"/>
  <c r="P337" i="1" s="1"/>
  <c r="N336" i="1"/>
  <c r="O336" i="1" s="1"/>
  <c r="P336" i="1" s="1"/>
  <c r="K336" i="1"/>
  <c r="H336" i="1"/>
  <c r="I336" i="1" s="1"/>
  <c r="N335" i="1"/>
  <c r="O335" i="1" s="1"/>
  <c r="P335" i="1" s="1"/>
  <c r="K335" i="1"/>
  <c r="H335" i="1"/>
  <c r="I335" i="1" s="1"/>
  <c r="N334" i="1"/>
  <c r="O334" i="1" s="1"/>
  <c r="P334" i="1" s="1"/>
  <c r="K334" i="1"/>
  <c r="H334" i="1"/>
  <c r="I334" i="1" s="1"/>
  <c r="N333" i="1"/>
  <c r="O333" i="1" s="1"/>
  <c r="P333" i="1" s="1"/>
  <c r="K333" i="1"/>
  <c r="H333" i="1"/>
  <c r="I333" i="1" s="1"/>
  <c r="N332" i="1"/>
  <c r="O332" i="1" s="1"/>
  <c r="P332" i="1" s="1"/>
  <c r="K332" i="1"/>
  <c r="H332" i="1"/>
  <c r="I332" i="1" s="1"/>
  <c r="N331" i="1"/>
  <c r="O331" i="1" s="1"/>
  <c r="N330" i="1"/>
  <c r="O330" i="1" s="1"/>
  <c r="P330" i="1" s="1"/>
  <c r="K330" i="1"/>
  <c r="H330" i="1"/>
  <c r="I330" i="1" s="1"/>
  <c r="N329" i="1"/>
  <c r="O329" i="1" s="1"/>
  <c r="P329" i="1" s="1"/>
  <c r="K329" i="1"/>
  <c r="H329" i="1"/>
  <c r="I329" i="1" s="1"/>
  <c r="N328" i="1"/>
  <c r="O328" i="1" s="1"/>
  <c r="P328" i="1" s="1"/>
  <c r="Q328" i="1" s="1"/>
  <c r="R328" i="1" s="1"/>
  <c r="N327" i="1"/>
  <c r="O327" i="1" s="1"/>
  <c r="P327" i="1" s="1"/>
  <c r="Q327" i="1" s="1"/>
  <c r="R327" i="1" s="1"/>
  <c r="N326" i="1"/>
  <c r="O326" i="1" s="1"/>
  <c r="P326" i="1" s="1"/>
  <c r="Q326" i="1" s="1"/>
  <c r="R326" i="1" s="1"/>
  <c r="N325" i="1"/>
  <c r="O325" i="1" s="1"/>
  <c r="P325" i="1" s="1"/>
  <c r="K325" i="1"/>
  <c r="H325" i="1"/>
  <c r="I325" i="1" s="1"/>
  <c r="O324" i="1"/>
  <c r="P324" i="1" s="1"/>
  <c r="Q324" i="1" s="1"/>
  <c r="R324" i="1" s="1"/>
  <c r="N323" i="1"/>
  <c r="O323" i="1" s="1"/>
  <c r="P323" i="1" s="1"/>
  <c r="N322" i="1"/>
  <c r="O322" i="1" s="1"/>
  <c r="P322" i="1" s="1"/>
  <c r="K322" i="1"/>
  <c r="H322" i="1"/>
  <c r="I322" i="1" s="1"/>
  <c r="N321" i="1"/>
  <c r="O321" i="1" s="1"/>
  <c r="P321" i="1" s="1"/>
  <c r="Q321" i="1" s="1"/>
  <c r="R321" i="1" s="1"/>
  <c r="N320" i="1"/>
  <c r="O320" i="1" s="1"/>
  <c r="P320" i="1" s="1"/>
  <c r="K320" i="1"/>
  <c r="H320" i="1"/>
  <c r="I320" i="1" s="1"/>
  <c r="N319" i="1"/>
  <c r="O319" i="1" s="1"/>
  <c r="P319" i="1" s="1"/>
  <c r="K319" i="1"/>
  <c r="H319" i="1"/>
  <c r="I319" i="1" s="1"/>
  <c r="N318" i="1"/>
  <c r="O318" i="1" s="1"/>
  <c r="P318" i="1" s="1"/>
  <c r="K318" i="1"/>
  <c r="H318" i="1"/>
  <c r="I318" i="1" s="1"/>
  <c r="N317" i="1"/>
  <c r="O317" i="1" s="1"/>
  <c r="P317" i="1" s="1"/>
  <c r="K317" i="1"/>
  <c r="H317" i="1"/>
  <c r="I317" i="1" s="1"/>
  <c r="N316" i="1"/>
  <c r="O316" i="1" s="1"/>
  <c r="P316" i="1" s="1"/>
  <c r="N315" i="1"/>
  <c r="O315" i="1" s="1"/>
  <c r="P315" i="1" s="1"/>
  <c r="Q315" i="1" s="1"/>
  <c r="R315" i="1" s="1"/>
  <c r="N314" i="1"/>
  <c r="O314" i="1" s="1"/>
  <c r="P314" i="1" s="1"/>
  <c r="N313" i="1"/>
  <c r="O313" i="1" s="1"/>
  <c r="P313" i="1" s="1"/>
  <c r="N312" i="1"/>
  <c r="O312" i="1" s="1"/>
  <c r="P312" i="1" s="1"/>
  <c r="N311" i="1"/>
  <c r="O311" i="1" s="1"/>
  <c r="P311" i="1" s="1"/>
  <c r="K311" i="1"/>
  <c r="H311" i="1"/>
  <c r="I311" i="1" s="1"/>
  <c r="N310" i="1"/>
  <c r="O310" i="1" s="1"/>
  <c r="P310" i="1" s="1"/>
  <c r="K310" i="1"/>
  <c r="H310" i="1"/>
  <c r="I310" i="1" s="1"/>
  <c r="N309" i="1"/>
  <c r="O309" i="1" s="1"/>
  <c r="N308" i="1"/>
  <c r="O308" i="1" s="1"/>
  <c r="P308" i="1" s="1"/>
  <c r="Q308" i="1" s="1"/>
  <c r="R308" i="1" s="1"/>
  <c r="N307" i="1"/>
  <c r="O307" i="1" s="1"/>
  <c r="P307" i="1" s="1"/>
  <c r="K307" i="1"/>
  <c r="H307" i="1"/>
  <c r="I307" i="1" s="1"/>
  <c r="N306" i="1"/>
  <c r="O306" i="1" s="1"/>
  <c r="P306" i="1" s="1"/>
  <c r="K306" i="1"/>
  <c r="H306" i="1"/>
  <c r="I306" i="1" s="1"/>
  <c r="N305" i="1"/>
  <c r="O305" i="1" s="1"/>
  <c r="P305" i="1" s="1"/>
  <c r="N304" i="1"/>
  <c r="O304" i="1" s="1"/>
  <c r="P304" i="1" s="1"/>
  <c r="N303" i="1"/>
  <c r="O303" i="1" s="1"/>
  <c r="P303" i="1" s="1"/>
  <c r="N302" i="1"/>
  <c r="O302" i="1" s="1"/>
  <c r="P302" i="1" s="1"/>
  <c r="K302" i="1"/>
  <c r="H302" i="1"/>
  <c r="I302" i="1" s="1"/>
  <c r="N301" i="1"/>
  <c r="O301" i="1" s="1"/>
  <c r="P301" i="1" s="1"/>
  <c r="K301" i="1"/>
  <c r="H301" i="1"/>
  <c r="I301" i="1" s="1"/>
  <c r="N300" i="1"/>
  <c r="O300" i="1" s="1"/>
  <c r="P300" i="1" s="1"/>
  <c r="Q300" i="1" s="1"/>
  <c r="R300" i="1" s="1"/>
  <c r="N299" i="1"/>
  <c r="O299" i="1" s="1"/>
  <c r="P299" i="1" s="1"/>
  <c r="K299" i="1"/>
  <c r="H299" i="1"/>
  <c r="I299" i="1" s="1"/>
  <c r="N298" i="1"/>
  <c r="O298" i="1" s="1"/>
  <c r="P298" i="1" s="1"/>
  <c r="K298" i="1"/>
  <c r="H298" i="1"/>
  <c r="I298" i="1" s="1"/>
  <c r="N297" i="1"/>
  <c r="O297" i="1" s="1"/>
  <c r="N296" i="1"/>
  <c r="O296" i="1" s="1"/>
  <c r="N295" i="1"/>
  <c r="O295" i="1" s="1"/>
  <c r="P295" i="1" s="1"/>
  <c r="K295" i="1"/>
  <c r="H295" i="1"/>
  <c r="I295" i="1" s="1"/>
  <c r="N294" i="1"/>
  <c r="O294" i="1" s="1"/>
  <c r="P294" i="1" s="1"/>
  <c r="K294" i="1"/>
  <c r="H294" i="1"/>
  <c r="I294" i="1" s="1"/>
  <c r="N293" i="1"/>
  <c r="O293" i="1" s="1"/>
  <c r="P293" i="1" s="1"/>
  <c r="N292" i="1"/>
  <c r="O292" i="1" s="1"/>
  <c r="P292" i="1" s="1"/>
  <c r="K292" i="1"/>
  <c r="H292" i="1"/>
  <c r="I292" i="1" s="1"/>
  <c r="N291" i="1"/>
  <c r="O291" i="1" s="1"/>
  <c r="P291" i="1" s="1"/>
  <c r="K291" i="1"/>
  <c r="H291" i="1"/>
  <c r="I291" i="1" s="1"/>
  <c r="N290" i="1"/>
  <c r="O290" i="1" s="1"/>
  <c r="N289" i="1"/>
  <c r="O289" i="1" s="1"/>
  <c r="P289" i="1" s="1"/>
  <c r="K289" i="1"/>
  <c r="H289" i="1"/>
  <c r="I289" i="1" s="1"/>
  <c r="N288" i="1"/>
  <c r="O288" i="1" s="1"/>
  <c r="P288" i="1" s="1"/>
  <c r="K288" i="1"/>
  <c r="H288" i="1"/>
  <c r="I288" i="1" s="1"/>
  <c r="N287" i="1"/>
  <c r="O287" i="1" s="1"/>
  <c r="N286" i="1"/>
  <c r="O286" i="1" s="1"/>
  <c r="P286" i="1" s="1"/>
  <c r="K286" i="1"/>
  <c r="H286" i="1"/>
  <c r="I286" i="1" s="1"/>
  <c r="N285" i="1"/>
  <c r="O285" i="1" s="1"/>
  <c r="P285" i="1" s="1"/>
  <c r="K285" i="1"/>
  <c r="H285" i="1"/>
  <c r="I285" i="1" s="1"/>
  <c r="N284" i="1"/>
  <c r="O284" i="1" s="1"/>
  <c r="P284" i="1" s="1"/>
  <c r="Q284" i="1" s="1"/>
  <c r="R284" i="1" s="1"/>
  <c r="N283" i="1"/>
  <c r="O283" i="1" s="1"/>
  <c r="N282" i="1"/>
  <c r="O282" i="1" s="1"/>
  <c r="P282" i="1" s="1"/>
  <c r="Q282" i="1" s="1"/>
  <c r="R282" i="1" s="1"/>
  <c r="O281" i="1"/>
  <c r="P281" i="1" s="1"/>
  <c r="N280" i="1"/>
  <c r="O280" i="1" s="1"/>
  <c r="N279" i="1"/>
  <c r="O279" i="1" s="1"/>
  <c r="N278" i="1"/>
  <c r="O278" i="1" s="1"/>
  <c r="N277" i="1"/>
  <c r="O277" i="1" s="1"/>
  <c r="N276" i="1"/>
  <c r="O276" i="1" s="1"/>
  <c r="N275" i="1"/>
  <c r="O275" i="1" s="1"/>
  <c r="N274" i="1"/>
  <c r="O274" i="1" s="1"/>
  <c r="N273" i="1"/>
  <c r="O273" i="1" s="1"/>
  <c r="P273" i="1" s="1"/>
  <c r="K273" i="1"/>
  <c r="H273" i="1"/>
  <c r="I273" i="1" s="1"/>
  <c r="N272" i="1"/>
  <c r="O272" i="1" s="1"/>
  <c r="P272" i="1" s="1"/>
  <c r="K272" i="1"/>
  <c r="H272" i="1"/>
  <c r="I272" i="1" s="1"/>
  <c r="N271" i="1"/>
  <c r="O271" i="1" s="1"/>
  <c r="P271" i="1" s="1"/>
  <c r="Q271" i="1" s="1"/>
  <c r="R271" i="1" s="1"/>
  <c r="N270" i="1"/>
  <c r="O270" i="1" s="1"/>
  <c r="N269" i="1"/>
  <c r="O269" i="1" s="1"/>
  <c r="N268" i="1"/>
  <c r="O268" i="1" s="1"/>
  <c r="P268" i="1" s="1"/>
  <c r="K268" i="1"/>
  <c r="H268" i="1"/>
  <c r="I268" i="1" s="1"/>
  <c r="N267" i="1"/>
  <c r="O267" i="1" s="1"/>
  <c r="P267" i="1" s="1"/>
  <c r="K267" i="1"/>
  <c r="H267" i="1"/>
  <c r="I267" i="1" s="1"/>
  <c r="N265" i="1"/>
  <c r="O265" i="1" s="1"/>
  <c r="P265" i="1" s="1"/>
  <c r="K265" i="1"/>
  <c r="H265" i="1"/>
  <c r="I265" i="1" s="1"/>
  <c r="N264" i="1"/>
  <c r="O264" i="1" s="1"/>
  <c r="P264" i="1" s="1"/>
  <c r="K264" i="1"/>
  <c r="H264" i="1"/>
  <c r="I264" i="1" s="1"/>
  <c r="N263" i="1"/>
  <c r="O263" i="1" s="1"/>
  <c r="P263" i="1" s="1"/>
  <c r="K263" i="1"/>
  <c r="H263" i="1"/>
  <c r="I263" i="1" s="1"/>
  <c r="N262" i="1"/>
  <c r="O262" i="1" s="1"/>
  <c r="P262" i="1" s="1"/>
  <c r="K262" i="1"/>
  <c r="H262" i="1"/>
  <c r="I262" i="1" s="1"/>
  <c r="N261" i="1"/>
  <c r="O261" i="1" s="1"/>
  <c r="P261" i="1" s="1"/>
  <c r="K261" i="1"/>
  <c r="H261" i="1"/>
  <c r="I261" i="1" s="1"/>
  <c r="N260" i="1"/>
  <c r="O260" i="1" s="1"/>
  <c r="P260" i="1" s="1"/>
  <c r="K260" i="1"/>
  <c r="H260" i="1"/>
  <c r="I260" i="1" s="1"/>
  <c r="N259" i="1"/>
  <c r="O259" i="1" s="1"/>
  <c r="P259" i="1" s="1"/>
  <c r="K259" i="1"/>
  <c r="H259" i="1"/>
  <c r="I259" i="1" s="1"/>
  <c r="N258" i="1"/>
  <c r="O258" i="1" s="1"/>
  <c r="P258" i="1" s="1"/>
  <c r="K258" i="1"/>
  <c r="H258" i="1"/>
  <c r="I258" i="1" s="1"/>
  <c r="N257" i="1"/>
  <c r="O257" i="1" s="1"/>
  <c r="P257" i="1" s="1"/>
  <c r="K257" i="1"/>
  <c r="H257" i="1"/>
  <c r="I257" i="1" s="1"/>
  <c r="N256" i="1"/>
  <c r="O256" i="1" s="1"/>
  <c r="P256" i="1" s="1"/>
  <c r="Q256" i="1" s="1"/>
  <c r="R256" i="1" s="1"/>
  <c r="N255" i="1"/>
  <c r="O255" i="1" s="1"/>
  <c r="P255" i="1" s="1"/>
  <c r="Q255" i="1" s="1"/>
  <c r="R255" i="1" s="1"/>
  <c r="N254" i="1"/>
  <c r="O254" i="1" s="1"/>
  <c r="N253" i="1"/>
  <c r="O253" i="1" s="1"/>
  <c r="P253" i="1" s="1"/>
  <c r="K253" i="1"/>
  <c r="H253" i="1"/>
  <c r="I253" i="1" s="1"/>
  <c r="N252" i="1"/>
  <c r="O252" i="1" s="1"/>
  <c r="P252" i="1" s="1"/>
  <c r="K252" i="1"/>
  <c r="H252" i="1"/>
  <c r="I252" i="1" s="1"/>
  <c r="N251" i="1"/>
  <c r="O251" i="1" s="1"/>
  <c r="P251" i="1" s="1"/>
  <c r="N250" i="1"/>
  <c r="O250" i="1" s="1"/>
  <c r="P250" i="1" s="1"/>
  <c r="K250" i="1"/>
  <c r="H250" i="1"/>
  <c r="I250" i="1" s="1"/>
  <c r="N249" i="1"/>
  <c r="O249" i="1" s="1"/>
  <c r="P249" i="1" s="1"/>
  <c r="K249" i="1"/>
  <c r="H249" i="1"/>
  <c r="I249" i="1" s="1"/>
  <c r="N248" i="1"/>
  <c r="O248" i="1" s="1"/>
  <c r="P248" i="1" s="1"/>
  <c r="K248" i="1"/>
  <c r="H248" i="1"/>
  <c r="I248" i="1" s="1"/>
  <c r="N247" i="1"/>
  <c r="O247" i="1" s="1"/>
  <c r="P247" i="1" s="1"/>
  <c r="K247" i="1"/>
  <c r="H247" i="1"/>
  <c r="I247" i="1" s="1"/>
  <c r="N246" i="1"/>
  <c r="O246" i="1" s="1"/>
  <c r="P246" i="1" s="1"/>
  <c r="Q246" i="1" s="1"/>
  <c r="R246" i="1" s="1"/>
  <c r="N245" i="1"/>
  <c r="O245" i="1" s="1"/>
  <c r="P245" i="1" s="1"/>
  <c r="Q245" i="1" s="1"/>
  <c r="R245" i="1" s="1"/>
  <c r="N244" i="1"/>
  <c r="O244" i="1" s="1"/>
  <c r="P244" i="1" s="1"/>
  <c r="K244" i="1"/>
  <c r="H244" i="1"/>
  <c r="I244" i="1" s="1"/>
  <c r="N243" i="1"/>
  <c r="O243" i="1" s="1"/>
  <c r="P243" i="1" s="1"/>
  <c r="K243" i="1"/>
  <c r="H243" i="1"/>
  <c r="I243" i="1" s="1"/>
  <c r="Q242" i="1"/>
  <c r="R242" i="1" s="1"/>
  <c r="Q241" i="1"/>
  <c r="R241" i="1" s="1"/>
  <c r="Q240" i="1"/>
  <c r="R240" i="1" s="1"/>
  <c r="N239" i="1"/>
  <c r="O239" i="1" s="1"/>
  <c r="P239" i="1" s="1"/>
  <c r="Q239" i="1" s="1"/>
  <c r="R239" i="1" s="1"/>
  <c r="N238" i="1"/>
  <c r="O238" i="1" s="1"/>
  <c r="P238" i="1" s="1"/>
  <c r="Q238" i="1" s="1"/>
  <c r="R238" i="1" s="1"/>
  <c r="N237" i="1"/>
  <c r="O237" i="1" s="1"/>
  <c r="P237" i="1" s="1"/>
  <c r="Q237" i="1" s="1"/>
  <c r="R237" i="1" s="1"/>
  <c r="N236" i="1"/>
  <c r="O236" i="1" s="1"/>
  <c r="P236" i="1" s="1"/>
  <c r="Q236" i="1" s="1"/>
  <c r="R236" i="1" s="1"/>
  <c r="N235" i="1"/>
  <c r="O235" i="1" s="1"/>
  <c r="P235" i="1" s="1"/>
  <c r="Q235" i="1" s="1"/>
  <c r="R235" i="1" s="1"/>
  <c r="N234" i="1"/>
  <c r="O234" i="1" s="1"/>
  <c r="P234" i="1" s="1"/>
  <c r="Q234" i="1" s="1"/>
  <c r="R234" i="1" s="1"/>
  <c r="N233" i="1"/>
  <c r="O233" i="1" s="1"/>
  <c r="P233" i="1" s="1"/>
  <c r="K233" i="1"/>
  <c r="H233" i="1"/>
  <c r="I233" i="1" s="1"/>
  <c r="N232" i="1"/>
  <c r="O232" i="1" s="1"/>
  <c r="P232" i="1" s="1"/>
  <c r="K232" i="1"/>
  <c r="H232" i="1"/>
  <c r="I232" i="1" s="1"/>
  <c r="N231" i="1"/>
  <c r="O231" i="1" s="1"/>
  <c r="P231" i="1" s="1"/>
  <c r="K231" i="1"/>
  <c r="H231" i="1"/>
  <c r="I231" i="1" s="1"/>
  <c r="N230" i="1"/>
  <c r="O230" i="1" s="1"/>
  <c r="Q228" i="1"/>
  <c r="R228" i="1" s="1"/>
  <c r="O227" i="1"/>
  <c r="P227" i="1" s="1"/>
  <c r="Q227" i="1" s="1"/>
  <c r="R227" i="1" s="1"/>
  <c r="N226" i="1"/>
  <c r="O226" i="1" s="1"/>
  <c r="P226" i="1" s="1"/>
  <c r="K226" i="1"/>
  <c r="H226" i="1"/>
  <c r="I226" i="1" s="1"/>
  <c r="N225" i="1"/>
  <c r="O225" i="1" s="1"/>
  <c r="P225" i="1" s="1"/>
  <c r="K225" i="1"/>
  <c r="H225" i="1"/>
  <c r="I225" i="1" s="1"/>
  <c r="N224" i="1"/>
  <c r="O224" i="1" s="1"/>
  <c r="P224" i="1" s="1"/>
  <c r="K224" i="1"/>
  <c r="H224" i="1"/>
  <c r="I224" i="1" s="1"/>
  <c r="N223" i="1"/>
  <c r="O223" i="1" s="1"/>
  <c r="P223" i="1" s="1"/>
  <c r="K223" i="1"/>
  <c r="H223" i="1"/>
  <c r="I223" i="1" s="1"/>
  <c r="N222" i="1"/>
  <c r="O222" i="1" s="1"/>
  <c r="P222" i="1" s="1"/>
  <c r="K222" i="1"/>
  <c r="H222" i="1"/>
  <c r="I222" i="1" s="1"/>
  <c r="N221" i="1"/>
  <c r="O221" i="1" s="1"/>
  <c r="P221" i="1" s="1"/>
  <c r="K221" i="1"/>
  <c r="H221" i="1"/>
  <c r="I221" i="1" s="1"/>
  <c r="N220" i="1"/>
  <c r="O220" i="1" s="1"/>
  <c r="P220" i="1" s="1"/>
  <c r="K220" i="1"/>
  <c r="H220" i="1"/>
  <c r="I220" i="1" s="1"/>
  <c r="N219" i="1"/>
  <c r="O219" i="1" s="1"/>
  <c r="P219" i="1" s="1"/>
  <c r="Q219" i="1" s="1"/>
  <c r="R219" i="1" s="1"/>
  <c r="N218" i="1"/>
  <c r="O218" i="1" s="1"/>
  <c r="P218" i="1" s="1"/>
  <c r="K218" i="1"/>
  <c r="H218" i="1"/>
  <c r="I218" i="1" s="1"/>
  <c r="N217" i="1"/>
  <c r="O217" i="1" s="1"/>
  <c r="P217" i="1" s="1"/>
  <c r="K217" i="1"/>
  <c r="H217" i="1"/>
  <c r="I217" i="1" s="1"/>
  <c r="N216" i="1"/>
  <c r="O216" i="1" s="1"/>
  <c r="H216" i="1"/>
  <c r="N215" i="1"/>
  <c r="O215" i="1" s="1"/>
  <c r="O214" i="1"/>
  <c r="P214" i="1" s="1"/>
  <c r="Q214" i="1" s="1"/>
  <c r="R214" i="1" s="1"/>
  <c r="O213" i="1"/>
  <c r="O212" i="1"/>
  <c r="P212" i="1" s="1"/>
  <c r="Q212" i="1" s="1"/>
  <c r="R212" i="1" s="1"/>
  <c r="N211" i="1"/>
  <c r="O211" i="1" s="1"/>
  <c r="P211" i="1" s="1"/>
  <c r="K211" i="1"/>
  <c r="H211" i="1"/>
  <c r="I211" i="1" s="1"/>
  <c r="N210" i="1"/>
  <c r="O210" i="1" s="1"/>
  <c r="P210" i="1" s="1"/>
  <c r="K210" i="1"/>
  <c r="H210" i="1"/>
  <c r="I210" i="1" s="1"/>
  <c r="O209" i="1"/>
  <c r="P209" i="1" s="1"/>
  <c r="N208" i="1"/>
  <c r="O208" i="1" s="1"/>
  <c r="P208" i="1" s="1"/>
  <c r="K208" i="1"/>
  <c r="H208" i="1"/>
  <c r="I208" i="1" s="1"/>
  <c r="N207" i="1"/>
  <c r="O207" i="1" s="1"/>
  <c r="P207" i="1" s="1"/>
  <c r="Q207" i="1" s="1"/>
  <c r="R207" i="1" s="1"/>
  <c r="N206" i="1"/>
  <c r="O206" i="1" s="1"/>
  <c r="P206" i="1" s="1"/>
  <c r="Q206" i="1" s="1"/>
  <c r="R206" i="1" s="1"/>
  <c r="N205" i="1"/>
  <c r="O205" i="1" s="1"/>
  <c r="P205" i="1" s="1"/>
  <c r="K205" i="1"/>
  <c r="H205" i="1"/>
  <c r="I205" i="1" s="1"/>
  <c r="N204" i="1"/>
  <c r="O204" i="1" s="1"/>
  <c r="P204" i="1" s="1"/>
  <c r="K204" i="1"/>
  <c r="H204" i="1"/>
  <c r="I204" i="1" s="1"/>
  <c r="O203" i="1"/>
  <c r="P203" i="1" s="1"/>
  <c r="P202" i="1"/>
  <c r="P201" i="1"/>
  <c r="Q201" i="1" s="1"/>
  <c r="R201" i="1" s="1"/>
  <c r="N200" i="1"/>
  <c r="O200" i="1" s="1"/>
  <c r="P200" i="1" s="1"/>
  <c r="N199" i="1"/>
  <c r="O199" i="1" s="1"/>
  <c r="P199" i="1" s="1"/>
  <c r="Q199" i="1" s="1"/>
  <c r="R199" i="1" s="1"/>
  <c r="N198" i="1"/>
  <c r="O198" i="1" s="1"/>
  <c r="P198" i="1" s="1"/>
  <c r="Q198" i="1" s="1"/>
  <c r="R198" i="1" s="1"/>
  <c r="N197" i="1"/>
  <c r="O197" i="1" s="1"/>
  <c r="P197" i="1" s="1"/>
  <c r="K197" i="1"/>
  <c r="H197" i="1"/>
  <c r="I197" i="1" s="1"/>
  <c r="N196" i="1"/>
  <c r="O196" i="1" s="1"/>
  <c r="P196" i="1" s="1"/>
  <c r="K196" i="1"/>
  <c r="H196" i="1"/>
  <c r="I196" i="1" s="1"/>
  <c r="N195" i="1"/>
  <c r="O195" i="1" s="1"/>
  <c r="P195" i="1" s="1"/>
  <c r="K195" i="1"/>
  <c r="H195" i="1"/>
  <c r="I195" i="1" s="1"/>
  <c r="N194" i="1"/>
  <c r="O194" i="1" s="1"/>
  <c r="P194" i="1" s="1"/>
  <c r="K194" i="1"/>
  <c r="H194" i="1"/>
  <c r="I194" i="1" s="1"/>
  <c r="N193" i="1"/>
  <c r="O193" i="1" s="1"/>
  <c r="P193" i="1" s="1"/>
  <c r="K193" i="1"/>
  <c r="H193" i="1"/>
  <c r="I193" i="1" s="1"/>
  <c r="N192" i="1"/>
  <c r="O192" i="1" s="1"/>
  <c r="P192" i="1" s="1"/>
  <c r="K192" i="1"/>
  <c r="H192" i="1"/>
  <c r="I192" i="1" s="1"/>
  <c r="N191" i="1"/>
  <c r="O191" i="1" s="1"/>
  <c r="P191" i="1" s="1"/>
  <c r="K191" i="1"/>
  <c r="H191" i="1"/>
  <c r="I191" i="1" s="1"/>
  <c r="N190" i="1"/>
  <c r="O190" i="1" s="1"/>
  <c r="P190" i="1" s="1"/>
  <c r="Q190" i="1" s="1"/>
  <c r="R190" i="1" s="1"/>
  <c r="N189" i="1"/>
  <c r="O189" i="1" s="1"/>
  <c r="N188" i="1"/>
  <c r="O188" i="1" s="1"/>
  <c r="P188" i="1" s="1"/>
  <c r="Q188" i="1" s="1"/>
  <c r="R188" i="1" s="1"/>
  <c r="N187" i="1"/>
  <c r="O187" i="1" s="1"/>
  <c r="P187" i="1" s="1"/>
  <c r="K187" i="1"/>
  <c r="H187" i="1"/>
  <c r="I187" i="1" s="1"/>
  <c r="N186" i="1"/>
  <c r="O186" i="1" s="1"/>
  <c r="P186" i="1" s="1"/>
  <c r="K186" i="1"/>
  <c r="H186" i="1"/>
  <c r="I186" i="1" s="1"/>
  <c r="N185" i="1"/>
  <c r="O185" i="1" s="1"/>
  <c r="P185" i="1" s="1"/>
  <c r="Q185" i="1" s="1"/>
  <c r="R185" i="1" s="1"/>
  <c r="N184" i="1"/>
  <c r="O184" i="1" s="1"/>
  <c r="P184" i="1" s="1"/>
  <c r="K184" i="1"/>
  <c r="H184" i="1"/>
  <c r="I184" i="1" s="1"/>
  <c r="N183" i="1"/>
  <c r="O183" i="1" s="1"/>
  <c r="P183" i="1" s="1"/>
  <c r="K183" i="1"/>
  <c r="H183" i="1"/>
  <c r="I183" i="1" s="1"/>
  <c r="N182" i="1"/>
  <c r="O182" i="1" s="1"/>
  <c r="P182" i="1" s="1"/>
  <c r="K182" i="1"/>
  <c r="H182" i="1"/>
  <c r="I182" i="1" s="1"/>
  <c r="N181" i="1"/>
  <c r="O181" i="1" s="1"/>
  <c r="P181" i="1" s="1"/>
  <c r="K181" i="1"/>
  <c r="H181" i="1"/>
  <c r="I181" i="1" s="1"/>
  <c r="N180" i="1"/>
  <c r="O180" i="1" s="1"/>
  <c r="P180" i="1" s="1"/>
  <c r="K180" i="1"/>
  <c r="H180" i="1"/>
  <c r="I180" i="1" s="1"/>
  <c r="N179" i="1"/>
  <c r="O179" i="1" s="1"/>
  <c r="P179" i="1" s="1"/>
  <c r="K179" i="1"/>
  <c r="H179" i="1"/>
  <c r="I179" i="1" s="1"/>
  <c r="N178" i="1"/>
  <c r="O178" i="1" s="1"/>
  <c r="P178" i="1" s="1"/>
  <c r="Q178" i="1" s="1"/>
  <c r="R178" i="1" s="1"/>
  <c r="N177" i="1"/>
  <c r="O177" i="1" s="1"/>
  <c r="P177" i="1" s="1"/>
  <c r="Q177" i="1" s="1"/>
  <c r="R177" i="1" s="1"/>
  <c r="N176" i="1"/>
  <c r="O176" i="1" s="1"/>
  <c r="P176" i="1" s="1"/>
  <c r="Q176" i="1" s="1"/>
  <c r="R176" i="1" s="1"/>
  <c r="N175" i="1"/>
  <c r="O175" i="1" s="1"/>
  <c r="P175" i="1" s="1"/>
  <c r="N174" i="1"/>
  <c r="O174" i="1" s="1"/>
  <c r="P174" i="1" s="1"/>
  <c r="Q174" i="1" s="1"/>
  <c r="R174" i="1" s="1"/>
  <c r="N173" i="1"/>
  <c r="O173" i="1" s="1"/>
  <c r="P173" i="1" s="1"/>
  <c r="Q173" i="1" s="1"/>
  <c r="R173" i="1" s="1"/>
  <c r="N172" i="1"/>
  <c r="O172" i="1" s="1"/>
  <c r="P172" i="1" s="1"/>
  <c r="Q172" i="1" s="1"/>
  <c r="R172" i="1" s="1"/>
  <c r="N171" i="1"/>
  <c r="O171" i="1" s="1"/>
  <c r="P171" i="1" s="1"/>
  <c r="Q171" i="1" s="1"/>
  <c r="R171" i="1" s="1"/>
  <c r="N170" i="1"/>
  <c r="O170" i="1" s="1"/>
  <c r="N169" i="1"/>
  <c r="O169" i="1" s="1"/>
  <c r="P169" i="1" s="1"/>
  <c r="K169" i="1"/>
  <c r="H169" i="1"/>
  <c r="I169" i="1" s="1"/>
  <c r="N168" i="1"/>
  <c r="O168" i="1" s="1"/>
  <c r="P168" i="1" s="1"/>
  <c r="K168" i="1"/>
  <c r="H168" i="1"/>
  <c r="I168" i="1" s="1"/>
  <c r="N167" i="1"/>
  <c r="O167" i="1" s="1"/>
  <c r="P167" i="1" s="1"/>
  <c r="Q167" i="1" s="1"/>
  <c r="R167" i="1" s="1"/>
  <c r="N166" i="1"/>
  <c r="O166" i="1" s="1"/>
  <c r="P166" i="1" s="1"/>
  <c r="K166" i="1"/>
  <c r="H166" i="1"/>
  <c r="I166" i="1" s="1"/>
  <c r="N165" i="1"/>
  <c r="O165" i="1" s="1"/>
  <c r="P165" i="1" s="1"/>
  <c r="K165" i="1"/>
  <c r="H165" i="1"/>
  <c r="I165" i="1" s="1"/>
  <c r="N164" i="1"/>
  <c r="O164" i="1" s="1"/>
  <c r="P164" i="1" s="1"/>
  <c r="Q164" i="1" s="1"/>
  <c r="R164" i="1" s="1"/>
  <c r="N163" i="1"/>
  <c r="O163" i="1" s="1"/>
  <c r="N162" i="1"/>
  <c r="O162" i="1" s="1"/>
  <c r="N161" i="1"/>
  <c r="O161" i="1" s="1"/>
  <c r="P161" i="1" s="1"/>
  <c r="Q161" i="1" s="1"/>
  <c r="R161" i="1" s="1"/>
  <c r="N160" i="1"/>
  <c r="O160" i="1" s="1"/>
  <c r="N159" i="1"/>
  <c r="O159" i="1" s="1"/>
  <c r="N158" i="1"/>
  <c r="O158" i="1" s="1"/>
  <c r="N157" i="1"/>
  <c r="O157" i="1" s="1"/>
  <c r="P157" i="1" s="1"/>
  <c r="K157" i="1"/>
  <c r="H157" i="1"/>
  <c r="I157" i="1" s="1"/>
  <c r="N156" i="1"/>
  <c r="O156" i="1" s="1"/>
  <c r="P156" i="1" s="1"/>
  <c r="K156" i="1"/>
  <c r="H156" i="1"/>
  <c r="I156" i="1" s="1"/>
  <c r="N154" i="1"/>
  <c r="O154" i="1" s="1"/>
  <c r="P154" i="1" s="1"/>
  <c r="K154" i="1"/>
  <c r="H154" i="1"/>
  <c r="I154" i="1" s="1"/>
  <c r="N153" i="1"/>
  <c r="O153" i="1" s="1"/>
  <c r="P153" i="1" s="1"/>
  <c r="N152" i="1"/>
  <c r="O152" i="1" s="1"/>
  <c r="P152" i="1" s="1"/>
  <c r="K152" i="1"/>
  <c r="H152" i="1"/>
  <c r="I152" i="1" s="1"/>
  <c r="N151" i="1"/>
  <c r="O151" i="1" s="1"/>
  <c r="P151" i="1" s="1"/>
  <c r="K151" i="1"/>
  <c r="H151" i="1"/>
  <c r="I151" i="1" s="1"/>
  <c r="N150" i="1"/>
  <c r="O150" i="1" s="1"/>
  <c r="P150" i="1" s="1"/>
  <c r="N149" i="1"/>
  <c r="O149" i="1" s="1"/>
  <c r="P149" i="1" s="1"/>
  <c r="Q149" i="1" s="1"/>
  <c r="R149" i="1" s="1"/>
  <c r="N148" i="1"/>
  <c r="O148" i="1" s="1"/>
  <c r="P148" i="1" s="1"/>
  <c r="Q148" i="1" s="1"/>
  <c r="R148" i="1" s="1"/>
  <c r="N147" i="1"/>
  <c r="O147" i="1" s="1"/>
  <c r="P147" i="1" s="1"/>
  <c r="N146" i="1"/>
  <c r="O146" i="1" s="1"/>
  <c r="P146" i="1" s="1"/>
  <c r="Q146" i="1" s="1"/>
  <c r="R146" i="1" s="1"/>
  <c r="N145" i="1"/>
  <c r="O145" i="1" s="1"/>
  <c r="P145" i="1" s="1"/>
  <c r="Q145" i="1" s="1"/>
  <c r="R145" i="1" s="1"/>
  <c r="N144" i="1"/>
  <c r="O144" i="1" s="1"/>
  <c r="P144" i="1" s="1"/>
  <c r="K144" i="1"/>
  <c r="H144" i="1"/>
  <c r="I144" i="1" s="1"/>
  <c r="N143" i="1"/>
  <c r="O143" i="1" s="1"/>
  <c r="P143" i="1" s="1"/>
  <c r="K143" i="1"/>
  <c r="H143" i="1"/>
  <c r="I143" i="1" s="1"/>
  <c r="N142" i="1"/>
  <c r="O142" i="1" s="1"/>
  <c r="P142" i="1" s="1"/>
  <c r="Q142" i="1" s="1"/>
  <c r="R142" i="1" s="1"/>
  <c r="N141" i="1"/>
  <c r="O141" i="1" s="1"/>
  <c r="P141" i="1" s="1"/>
  <c r="K141" i="1"/>
  <c r="H141" i="1"/>
  <c r="I141" i="1" s="1"/>
  <c r="N140" i="1"/>
  <c r="O140" i="1" s="1"/>
  <c r="P140" i="1" s="1"/>
  <c r="K140" i="1"/>
  <c r="H140" i="1"/>
  <c r="I140" i="1" s="1"/>
  <c r="N139" i="1"/>
  <c r="O139" i="1" s="1"/>
  <c r="P139" i="1" s="1"/>
  <c r="Q139" i="1" s="1"/>
  <c r="R139" i="1" s="1"/>
  <c r="N138" i="1"/>
  <c r="O138" i="1" s="1"/>
  <c r="P138" i="1" s="1"/>
  <c r="N137" i="1"/>
  <c r="O137" i="1" s="1"/>
  <c r="P137" i="1" s="1"/>
  <c r="N136" i="1"/>
  <c r="O136" i="1" s="1"/>
  <c r="P136" i="1" s="1"/>
  <c r="K136" i="1"/>
  <c r="H136" i="1"/>
  <c r="I136" i="1" s="1"/>
  <c r="N135" i="1"/>
  <c r="O135" i="1" s="1"/>
  <c r="P135" i="1" s="1"/>
  <c r="K135" i="1"/>
  <c r="H135" i="1"/>
  <c r="I135" i="1" s="1"/>
  <c r="N134" i="1"/>
  <c r="O134" i="1" s="1"/>
  <c r="P134" i="1" s="1"/>
  <c r="Q134" i="1" s="1"/>
  <c r="R134" i="1" s="1"/>
  <c r="N133" i="1"/>
  <c r="O133" i="1" s="1"/>
  <c r="P133" i="1" s="1"/>
  <c r="Q133" i="1" s="1"/>
  <c r="R133" i="1" s="1"/>
  <c r="N132" i="1"/>
  <c r="O132" i="1" s="1"/>
  <c r="N131" i="1"/>
  <c r="O131" i="1" s="1"/>
  <c r="P131" i="1" s="1"/>
  <c r="K131" i="1"/>
  <c r="H131" i="1"/>
  <c r="I131" i="1" s="1"/>
  <c r="N130" i="1"/>
  <c r="O130" i="1" s="1"/>
  <c r="P130" i="1" s="1"/>
  <c r="K130" i="1"/>
  <c r="H130" i="1"/>
  <c r="I130" i="1" s="1"/>
  <c r="N129" i="1"/>
  <c r="O129" i="1" s="1"/>
  <c r="P129" i="1" s="1"/>
  <c r="N128" i="1"/>
  <c r="O128" i="1" s="1"/>
  <c r="N125" i="1"/>
  <c r="O125" i="1" s="1"/>
  <c r="P125" i="1" s="1"/>
  <c r="K125" i="1"/>
  <c r="H125" i="1"/>
  <c r="I125" i="1" s="1"/>
  <c r="N124" i="1"/>
  <c r="O124" i="1" s="1"/>
  <c r="P124" i="1" s="1"/>
  <c r="K124" i="1"/>
  <c r="H124" i="1"/>
  <c r="I124" i="1" s="1"/>
  <c r="N123" i="1"/>
  <c r="O123" i="1" s="1"/>
  <c r="P123" i="1" s="1"/>
  <c r="Q123" i="1" s="1"/>
  <c r="R123" i="1" s="1"/>
  <c r="N122" i="1"/>
  <c r="O122" i="1" s="1"/>
  <c r="P122" i="1" s="1"/>
  <c r="Q122" i="1" s="1"/>
  <c r="R122" i="1" s="1"/>
  <c r="N121" i="1"/>
  <c r="O121" i="1" s="1"/>
  <c r="P121" i="1" s="1"/>
  <c r="Q121" i="1" s="1"/>
  <c r="R121" i="1" s="1"/>
  <c r="N120" i="1"/>
  <c r="O120" i="1" s="1"/>
  <c r="P120" i="1" s="1"/>
  <c r="K120" i="1"/>
  <c r="H120" i="1"/>
  <c r="I120" i="1" s="1"/>
  <c r="N119" i="1"/>
  <c r="O119" i="1" s="1"/>
  <c r="P119" i="1" s="1"/>
  <c r="K119" i="1"/>
  <c r="H119" i="1"/>
  <c r="I119" i="1" s="1"/>
  <c r="N118" i="1"/>
  <c r="O118" i="1" s="1"/>
  <c r="P118" i="1" s="1"/>
  <c r="Q118" i="1" s="1"/>
  <c r="R118" i="1" s="1"/>
  <c r="N117" i="1"/>
  <c r="O117" i="1" s="1"/>
  <c r="P117" i="1" s="1"/>
  <c r="N116" i="1"/>
  <c r="O116" i="1" s="1"/>
  <c r="P116" i="1" s="1"/>
  <c r="Q116" i="1" s="1"/>
  <c r="R116" i="1" s="1"/>
  <c r="N115" i="1"/>
  <c r="O115" i="1" s="1"/>
  <c r="P115" i="1" s="1"/>
  <c r="Q115" i="1" s="1"/>
  <c r="R115" i="1" s="1"/>
  <c r="N114" i="1"/>
  <c r="O114" i="1" s="1"/>
  <c r="P114" i="1" s="1"/>
  <c r="H114" i="1"/>
  <c r="I114" i="1" s="1"/>
  <c r="N113" i="1"/>
  <c r="O113" i="1" s="1"/>
  <c r="P113" i="1" s="1"/>
  <c r="Q113" i="1" s="1"/>
  <c r="R113" i="1" s="1"/>
  <c r="N112" i="1"/>
  <c r="O112" i="1" s="1"/>
  <c r="P112" i="1" s="1"/>
  <c r="Q112" i="1" s="1"/>
  <c r="R112" i="1" s="1"/>
  <c r="N111" i="1"/>
  <c r="O111" i="1" s="1"/>
  <c r="P111" i="1" s="1"/>
  <c r="N110" i="1"/>
  <c r="O110" i="1" s="1"/>
  <c r="P110" i="1" s="1"/>
  <c r="Q110" i="1" s="1"/>
  <c r="R110" i="1" s="1"/>
  <c r="N109" i="1"/>
  <c r="O109" i="1" s="1"/>
  <c r="P109" i="1" s="1"/>
  <c r="Q109" i="1" s="1"/>
  <c r="R109" i="1" s="1"/>
  <c r="N108" i="1"/>
  <c r="O108" i="1" s="1"/>
  <c r="P108" i="1" s="1"/>
  <c r="Q108" i="1" s="1"/>
  <c r="R108" i="1" s="1"/>
  <c r="N107" i="1"/>
  <c r="O107" i="1" s="1"/>
  <c r="P107" i="1" s="1"/>
  <c r="N106" i="1"/>
  <c r="O106" i="1" s="1"/>
  <c r="P106" i="1" s="1"/>
  <c r="Q106" i="1" s="1"/>
  <c r="R106" i="1" s="1"/>
  <c r="N105" i="1"/>
  <c r="O105" i="1" s="1"/>
  <c r="P105" i="1" s="1"/>
  <c r="Q105" i="1" s="1"/>
  <c r="R105" i="1" s="1"/>
  <c r="N104" i="1"/>
  <c r="O104" i="1" s="1"/>
  <c r="P104" i="1" s="1"/>
  <c r="Q104" i="1" s="1"/>
  <c r="R104" i="1" s="1"/>
  <c r="N103" i="1"/>
  <c r="O103" i="1" s="1"/>
  <c r="P103" i="1" s="1"/>
  <c r="Q103" i="1" s="1"/>
  <c r="R103" i="1" s="1"/>
  <c r="N102" i="1"/>
  <c r="O102" i="1" s="1"/>
  <c r="P102" i="1" s="1"/>
  <c r="N100" i="1"/>
  <c r="O100" i="1" s="1"/>
  <c r="P100" i="1" s="1"/>
  <c r="K100" i="1"/>
  <c r="H100" i="1"/>
  <c r="I100" i="1" s="1"/>
  <c r="N99" i="1"/>
  <c r="O99" i="1" s="1"/>
  <c r="P99" i="1" s="1"/>
  <c r="K99" i="1"/>
  <c r="H99" i="1"/>
  <c r="I99" i="1" s="1"/>
  <c r="R98" i="1"/>
  <c r="R97" i="1"/>
  <c r="R95" i="1"/>
  <c r="N93" i="1"/>
  <c r="O93" i="1" s="1"/>
  <c r="N92" i="1"/>
  <c r="O92" i="1" s="1"/>
  <c r="P92" i="1" s="1"/>
  <c r="K92" i="1"/>
  <c r="H92" i="1"/>
  <c r="I92" i="1" s="1"/>
  <c r="N91" i="1"/>
  <c r="O91" i="1" s="1"/>
  <c r="P91" i="1" s="1"/>
  <c r="K91" i="1"/>
  <c r="H91" i="1"/>
  <c r="I91" i="1" s="1"/>
  <c r="N89" i="1"/>
  <c r="O89" i="1" s="1"/>
  <c r="P89" i="1" s="1"/>
  <c r="K89" i="1"/>
  <c r="H89" i="1"/>
  <c r="I89" i="1" s="1"/>
  <c r="N88" i="1"/>
  <c r="O88" i="1" s="1"/>
  <c r="P88" i="1" s="1"/>
  <c r="Q88" i="1" s="1"/>
  <c r="R88" i="1" s="1"/>
  <c r="N87" i="1"/>
  <c r="O87" i="1" s="1"/>
  <c r="P87" i="1" s="1"/>
  <c r="K87" i="1"/>
  <c r="H87" i="1"/>
  <c r="I87" i="1" s="1"/>
  <c r="N86" i="1"/>
  <c r="O86" i="1" s="1"/>
  <c r="P86" i="1" s="1"/>
  <c r="K86" i="1"/>
  <c r="H86" i="1"/>
  <c r="I86" i="1" s="1"/>
  <c r="N85" i="1"/>
  <c r="O85" i="1" s="1"/>
  <c r="P85" i="1" s="1"/>
  <c r="Q85" i="1" s="1"/>
  <c r="R85" i="1" s="1"/>
  <c r="N84" i="1"/>
  <c r="O84" i="1" s="1"/>
  <c r="P84" i="1" s="1"/>
  <c r="N83" i="1"/>
  <c r="O83" i="1" s="1"/>
  <c r="P83" i="1" s="1"/>
  <c r="K83" i="1"/>
  <c r="H83" i="1"/>
  <c r="I83" i="1" s="1"/>
  <c r="N82" i="1"/>
  <c r="O82" i="1" s="1"/>
  <c r="P82" i="1" s="1"/>
  <c r="K82" i="1"/>
  <c r="H82" i="1"/>
  <c r="I82" i="1" s="1"/>
  <c r="N81" i="1"/>
  <c r="O81" i="1" s="1"/>
  <c r="P81" i="1" s="1"/>
  <c r="Q81" i="1" s="1"/>
  <c r="R81" i="1" s="1"/>
  <c r="N80" i="1"/>
  <c r="O80" i="1" s="1"/>
  <c r="P80" i="1" s="1"/>
  <c r="K80" i="1"/>
  <c r="H80" i="1"/>
  <c r="I80" i="1" s="1"/>
  <c r="N79" i="1"/>
  <c r="O79" i="1" s="1"/>
  <c r="P79" i="1" s="1"/>
  <c r="K79" i="1"/>
  <c r="H79" i="1"/>
  <c r="I79" i="1" s="1"/>
  <c r="N78" i="1"/>
  <c r="O78" i="1" s="1"/>
  <c r="N77" i="1"/>
  <c r="O77" i="1" s="1"/>
  <c r="P77" i="1" s="1"/>
  <c r="K77" i="1"/>
  <c r="H77" i="1"/>
  <c r="I77" i="1" s="1"/>
  <c r="N76" i="1"/>
  <c r="O76" i="1" s="1"/>
  <c r="P76" i="1" s="1"/>
  <c r="K76" i="1"/>
  <c r="H76" i="1"/>
  <c r="I76" i="1" s="1"/>
  <c r="N74" i="1"/>
  <c r="O74" i="1" s="1"/>
  <c r="P74" i="1" s="1"/>
  <c r="K74" i="1"/>
  <c r="H74" i="1"/>
  <c r="I74" i="1" s="1"/>
  <c r="N73" i="1"/>
  <c r="O73" i="1" s="1"/>
  <c r="P73" i="1" s="1"/>
  <c r="Q73" i="1" s="1"/>
  <c r="R73" i="1" s="1"/>
  <c r="N72" i="1"/>
  <c r="O72" i="1" s="1"/>
  <c r="P72" i="1" s="1"/>
  <c r="K72" i="1"/>
  <c r="H72" i="1"/>
  <c r="I72" i="1" s="1"/>
  <c r="N71" i="1"/>
  <c r="O71" i="1" s="1"/>
  <c r="P71" i="1" s="1"/>
  <c r="K71" i="1"/>
  <c r="H71" i="1"/>
  <c r="I71" i="1" s="1"/>
  <c r="N70" i="1"/>
  <c r="O70" i="1" s="1"/>
  <c r="N69" i="1"/>
  <c r="O69" i="1" s="1"/>
  <c r="P69" i="1" s="1"/>
  <c r="K69" i="1"/>
  <c r="H69" i="1"/>
  <c r="I69" i="1" s="1"/>
  <c r="N68" i="1"/>
  <c r="O68" i="1" s="1"/>
  <c r="P68" i="1" s="1"/>
  <c r="K68" i="1"/>
  <c r="H68" i="1"/>
  <c r="I68" i="1" s="1"/>
  <c r="N67" i="1"/>
  <c r="O67" i="1" s="1"/>
  <c r="N66" i="1"/>
  <c r="O66" i="1" s="1"/>
  <c r="N65" i="1"/>
  <c r="O65" i="1" s="1"/>
  <c r="P65" i="1" s="1"/>
  <c r="K65" i="1"/>
  <c r="H65" i="1"/>
  <c r="I65" i="1" s="1"/>
  <c r="N64" i="1"/>
  <c r="O64" i="1" s="1"/>
  <c r="P64" i="1" s="1"/>
  <c r="K64" i="1"/>
  <c r="H64" i="1"/>
  <c r="I64" i="1" s="1"/>
  <c r="N63" i="1"/>
  <c r="O63" i="1" s="1"/>
  <c r="N62" i="1"/>
  <c r="O62" i="1" s="1"/>
  <c r="N61" i="1"/>
  <c r="O61" i="1" s="1"/>
  <c r="N60" i="1"/>
  <c r="O60" i="1" s="1"/>
  <c r="N59" i="1"/>
  <c r="O59" i="1" s="1"/>
  <c r="N58" i="1"/>
  <c r="O58" i="1" s="1"/>
  <c r="N57" i="1"/>
  <c r="O57" i="1" s="1"/>
  <c r="N56" i="1"/>
  <c r="O56" i="1" s="1"/>
  <c r="P56" i="1" s="1"/>
  <c r="K56" i="1"/>
  <c r="H56" i="1"/>
  <c r="I56" i="1" s="1"/>
  <c r="N55" i="1"/>
  <c r="O55" i="1" s="1"/>
  <c r="P55" i="1" s="1"/>
  <c r="K55" i="1"/>
  <c r="H55" i="1"/>
  <c r="I55" i="1" s="1"/>
  <c r="N54" i="1"/>
  <c r="O54" i="1" s="1"/>
  <c r="N53" i="1"/>
  <c r="O53" i="1" s="1"/>
  <c r="P53" i="1" s="1"/>
  <c r="K53" i="1"/>
  <c r="H53" i="1"/>
  <c r="I53" i="1" s="1"/>
  <c r="N52" i="1"/>
  <c r="O52" i="1" s="1"/>
  <c r="P52" i="1" s="1"/>
  <c r="K52" i="1"/>
  <c r="H52" i="1"/>
  <c r="I52" i="1" s="1"/>
  <c r="N51" i="1"/>
  <c r="O51" i="1" s="1"/>
  <c r="P51" i="1" s="1"/>
  <c r="K51" i="1"/>
  <c r="H51" i="1"/>
  <c r="I51" i="1" s="1"/>
  <c r="N50" i="1"/>
  <c r="O50" i="1" s="1"/>
  <c r="P50" i="1" s="1"/>
  <c r="K50" i="1"/>
  <c r="H50" i="1"/>
  <c r="I50" i="1" s="1"/>
  <c r="N49" i="1"/>
  <c r="O49" i="1" s="1"/>
  <c r="P49" i="1" s="1"/>
  <c r="K49" i="1"/>
  <c r="H49" i="1"/>
  <c r="I49" i="1" s="1"/>
  <c r="N48" i="1"/>
  <c r="O48" i="1" s="1"/>
  <c r="P48" i="1" s="1"/>
  <c r="K48" i="1"/>
  <c r="H48" i="1"/>
  <c r="I48" i="1" s="1"/>
  <c r="N47" i="1"/>
  <c r="O47" i="1" s="1"/>
  <c r="P47" i="1" s="1"/>
  <c r="K47" i="1"/>
  <c r="H47" i="1"/>
  <c r="I47" i="1" s="1"/>
  <c r="N46" i="1"/>
  <c r="O46" i="1" s="1"/>
  <c r="P46" i="1" s="1"/>
  <c r="K46" i="1"/>
  <c r="H46" i="1"/>
  <c r="I46" i="1" s="1"/>
  <c r="N45" i="1"/>
  <c r="O45" i="1" s="1"/>
  <c r="P45" i="1" s="1"/>
  <c r="N44" i="1"/>
  <c r="O44" i="1" s="1"/>
  <c r="P44" i="1" s="1"/>
  <c r="K44" i="1"/>
  <c r="H44" i="1"/>
  <c r="I44" i="1" s="1"/>
  <c r="N43" i="1"/>
  <c r="O43" i="1" s="1"/>
  <c r="P43" i="1" s="1"/>
  <c r="K43" i="1"/>
  <c r="H43" i="1"/>
  <c r="I43" i="1" s="1"/>
  <c r="N41" i="1"/>
  <c r="O41" i="1" s="1"/>
  <c r="P41" i="1" s="1"/>
  <c r="K41" i="1"/>
  <c r="H41" i="1"/>
  <c r="I41" i="1" s="1"/>
  <c r="N40" i="1"/>
  <c r="O40" i="1" s="1"/>
  <c r="P40" i="1" s="1"/>
  <c r="N39" i="1"/>
  <c r="O39" i="1" s="1"/>
  <c r="P39" i="1" s="1"/>
  <c r="Q39" i="1" s="1"/>
  <c r="R39" i="1" s="1"/>
  <c r="N38" i="1"/>
  <c r="O38" i="1" s="1"/>
  <c r="P38" i="1" s="1"/>
  <c r="N37" i="1"/>
  <c r="O37" i="1" s="1"/>
  <c r="P37" i="1" s="1"/>
  <c r="Q37" i="1" s="1"/>
  <c r="R37" i="1" s="1"/>
  <c r="N36" i="1"/>
  <c r="O36" i="1" s="1"/>
  <c r="P36" i="1" s="1"/>
  <c r="Q36" i="1" s="1"/>
  <c r="R36" i="1" s="1"/>
  <c r="N35" i="1"/>
  <c r="O35" i="1" s="1"/>
  <c r="P35" i="1" s="1"/>
  <c r="N34" i="1"/>
  <c r="O34" i="1" s="1"/>
  <c r="P34" i="1" s="1"/>
  <c r="N33" i="1"/>
  <c r="O33" i="1" s="1"/>
  <c r="P33" i="1" s="1"/>
  <c r="Q33" i="1" s="1"/>
  <c r="R33" i="1" s="1"/>
  <c r="N32" i="1"/>
  <c r="O32" i="1" s="1"/>
  <c r="P32" i="1" s="1"/>
  <c r="Q32" i="1" s="1"/>
  <c r="R32" i="1" s="1"/>
  <c r="N31" i="1"/>
  <c r="O31" i="1" s="1"/>
  <c r="P31" i="1" s="1"/>
  <c r="Q31" i="1" s="1"/>
  <c r="R31" i="1" s="1"/>
  <c r="N30" i="1"/>
  <c r="O30" i="1" s="1"/>
  <c r="P30" i="1" s="1"/>
  <c r="Q30" i="1" s="1"/>
  <c r="R30" i="1" s="1"/>
  <c r="N29" i="1"/>
  <c r="O29" i="1" s="1"/>
  <c r="N28" i="1"/>
  <c r="O28" i="1" s="1"/>
  <c r="N27" i="1"/>
  <c r="O27" i="1" s="1"/>
  <c r="P27" i="1" s="1"/>
  <c r="Q27" i="1" s="1"/>
  <c r="R27" i="1" s="1"/>
  <c r="N26" i="1"/>
  <c r="O26" i="1" s="1"/>
  <c r="P26" i="1" s="1"/>
  <c r="K26" i="1"/>
  <c r="H26" i="1"/>
  <c r="I26" i="1" s="1"/>
  <c r="N25" i="1"/>
  <c r="O25" i="1" s="1"/>
  <c r="P25" i="1" s="1"/>
  <c r="K25" i="1"/>
  <c r="H25" i="1"/>
  <c r="I25" i="1" s="1"/>
  <c r="N23" i="1"/>
  <c r="O23" i="1" s="1"/>
  <c r="P23" i="1" s="1"/>
  <c r="K23" i="1"/>
  <c r="H23" i="1"/>
  <c r="I23" i="1" s="1"/>
  <c r="N22" i="1"/>
  <c r="P22" i="1" s="1"/>
  <c r="K22" i="1"/>
  <c r="H22" i="1"/>
  <c r="I22" i="1" s="1"/>
  <c r="C35" i="3"/>
  <c r="F1256" i="1"/>
  <c r="F1255" i="1"/>
  <c r="B1254" i="1"/>
  <c r="B1253" i="1"/>
  <c r="B1246" i="1"/>
  <c r="B1245" i="1"/>
  <c r="B1243" i="1"/>
  <c r="B1242" i="1"/>
  <c r="B1240" i="1"/>
  <c r="B1239" i="1"/>
  <c r="B1236" i="1"/>
  <c r="B1235" i="1"/>
  <c r="B1233" i="1"/>
  <c r="B1232" i="1"/>
  <c r="F1226" i="1"/>
  <c r="F1225" i="1"/>
  <c r="B1223" i="1"/>
  <c r="B1220" i="1"/>
  <c r="F1219" i="1"/>
  <c r="F1218" i="1"/>
  <c r="F1217" i="1"/>
  <c r="B1216" i="1"/>
  <c r="B1215" i="1"/>
  <c r="B1214" i="1"/>
  <c r="B1213" i="1"/>
  <c r="B1211" i="1"/>
  <c r="B1210" i="1"/>
  <c r="B1209" i="1"/>
  <c r="F1208" i="1"/>
  <c r="F1207" i="1"/>
  <c r="F1206" i="1"/>
  <c r="B1204" i="1"/>
  <c r="B1203" i="1"/>
  <c r="B1201" i="1"/>
  <c r="B1200" i="1"/>
  <c r="B1199" i="1"/>
  <c r="B1198" i="1"/>
  <c r="F1197" i="1"/>
  <c r="B1193" i="1"/>
  <c r="B1192" i="1"/>
  <c r="B1190" i="1"/>
  <c r="B1189" i="1"/>
  <c r="B1186" i="1"/>
  <c r="B1185" i="1"/>
  <c r="B1182" i="1"/>
  <c r="B1181" i="1"/>
  <c r="B1178" i="1"/>
  <c r="B1177" i="1"/>
  <c r="B1176" i="1"/>
  <c r="B1175" i="1"/>
  <c r="B1173" i="1"/>
  <c r="B1172" i="1"/>
  <c r="B1170" i="1"/>
  <c r="B1169" i="1"/>
  <c r="B1168" i="1"/>
  <c r="B1167" i="1"/>
  <c r="B1161" i="1"/>
  <c r="B1160" i="1"/>
  <c r="B1158" i="1"/>
  <c r="B1157" i="1"/>
  <c r="B1155" i="1"/>
  <c r="B1154" i="1"/>
  <c r="B1153" i="1"/>
  <c r="B1152" i="1"/>
  <c r="B1148" i="1"/>
  <c r="B1147" i="1"/>
  <c r="B1145" i="1"/>
  <c r="B1144" i="1"/>
  <c r="B1142" i="1"/>
  <c r="B1141" i="1"/>
  <c r="B1139" i="1"/>
  <c r="B1138" i="1"/>
  <c r="B1136" i="1"/>
  <c r="B1135" i="1"/>
  <c r="B1133" i="1"/>
  <c r="B1132" i="1"/>
  <c r="B1131" i="1"/>
  <c r="B1130" i="1"/>
  <c r="B1129" i="1"/>
  <c r="B1128" i="1"/>
  <c r="F1127" i="1"/>
  <c r="K1127" i="1" s="1"/>
  <c r="B1122" i="1"/>
  <c r="B1121" i="1"/>
  <c r="B1119" i="1"/>
  <c r="B1118" i="1"/>
  <c r="F1117" i="1"/>
  <c r="F1116" i="1"/>
  <c r="F1115" i="1"/>
  <c r="B1114" i="1"/>
  <c r="B1112" i="1"/>
  <c r="B1111" i="1"/>
  <c r="F1110" i="1"/>
  <c r="B1109" i="1"/>
  <c r="B1108" i="1"/>
  <c r="B1106" i="1"/>
  <c r="B1105" i="1"/>
  <c r="B1103" i="1"/>
  <c r="B1102" i="1"/>
  <c r="F1099" i="1"/>
  <c r="B1098" i="1"/>
  <c r="B1097" i="1"/>
  <c r="F1094" i="1"/>
  <c r="F1093" i="1"/>
  <c r="K1093" i="1" s="1"/>
  <c r="B1092" i="1"/>
  <c r="B1091" i="1"/>
  <c r="B1089" i="1"/>
  <c r="B1088" i="1"/>
  <c r="B1087" i="1"/>
  <c r="B1086" i="1"/>
  <c r="F1085" i="1"/>
  <c r="F1084" i="1"/>
  <c r="F1083" i="1"/>
  <c r="B1081" i="1"/>
  <c r="B1080" i="1"/>
  <c r="F1079" i="1"/>
  <c r="B1077" i="1"/>
  <c r="B1076" i="1"/>
  <c r="F1075" i="1"/>
  <c r="F1074" i="1"/>
  <c r="F1073" i="1"/>
  <c r="B1072" i="1"/>
  <c r="F1071" i="1"/>
  <c r="F1070" i="1"/>
  <c r="F1069" i="1"/>
  <c r="B1068" i="1"/>
  <c r="B1067" i="1"/>
  <c r="B1063" i="1"/>
  <c r="B1062" i="1"/>
  <c r="B1055" i="1"/>
  <c r="B1054" i="1"/>
  <c r="F1053" i="1"/>
  <c r="K1053" i="1" s="1"/>
  <c r="B1050" i="1"/>
  <c r="B1049" i="1"/>
  <c r="B1047" i="1"/>
  <c r="B1046" i="1"/>
  <c r="B1044" i="1"/>
  <c r="B1043" i="1"/>
  <c r="F1042" i="1"/>
  <c r="K1042" i="1" s="1"/>
  <c r="B1040" i="1"/>
  <c r="B1039" i="1"/>
  <c r="B1035" i="1"/>
  <c r="B1034" i="1"/>
  <c r="B1033" i="1"/>
  <c r="C19" i="3"/>
  <c r="B41" i="1"/>
  <c r="F29" i="1"/>
  <c r="F28" i="1"/>
  <c r="B26" i="1"/>
  <c r="B25" i="1"/>
  <c r="B24" i="1"/>
  <c r="Q744" i="1" l="1"/>
  <c r="R744" i="1" s="1"/>
  <c r="Q688" i="1"/>
  <c r="R688" i="1" s="1"/>
  <c r="Q1021" i="1"/>
  <c r="R1021" i="1" s="1"/>
  <c r="Q498" i="1"/>
  <c r="R498" i="1" s="1"/>
  <c r="Q1050" i="1"/>
  <c r="R1050" i="1" s="1"/>
  <c r="Q666" i="1"/>
  <c r="R666" i="1" s="1"/>
  <c r="Q676" i="1"/>
  <c r="R676" i="1" s="1"/>
  <c r="Q808" i="1"/>
  <c r="R808" i="1" s="1"/>
  <c r="Q64" i="1"/>
  <c r="R64" i="1" s="1"/>
  <c r="Q684" i="1"/>
  <c r="R684" i="1" s="1"/>
  <c r="Q954" i="1"/>
  <c r="R954" i="1" s="1"/>
  <c r="Q407" i="1"/>
  <c r="R407" i="1" s="1"/>
  <c r="Q22" i="1"/>
  <c r="R22" i="1" s="1"/>
  <c r="Q783" i="1"/>
  <c r="R783" i="1" s="1"/>
  <c r="Q1106" i="1"/>
  <c r="R1106" i="1" s="1"/>
  <c r="Q208" i="1"/>
  <c r="R208" i="1" s="1"/>
  <c r="Q861" i="1"/>
  <c r="R861" i="1" s="1"/>
  <c r="I1110" i="1"/>
  <c r="K1110" i="1"/>
  <c r="Q459" i="1"/>
  <c r="R459" i="1" s="1"/>
  <c r="K1079" i="1"/>
  <c r="I1079" i="1"/>
  <c r="K1206" i="1"/>
  <c r="I1206" i="1"/>
  <c r="P1206" i="1"/>
  <c r="K1217" i="1"/>
  <c r="P1217" i="1"/>
  <c r="I1217" i="1"/>
  <c r="K1094" i="1"/>
  <c r="I1094" i="1"/>
  <c r="K1207" i="1"/>
  <c r="I1207" i="1"/>
  <c r="P1207" i="1"/>
  <c r="K1218" i="1"/>
  <c r="I1218" i="1"/>
  <c r="P1218" i="1"/>
  <c r="K1208" i="1"/>
  <c r="I1208" i="1"/>
  <c r="P1208" i="1"/>
  <c r="K1219" i="1"/>
  <c r="I1219" i="1"/>
  <c r="P1219" i="1"/>
  <c r="K1069" i="1"/>
  <c r="I1069" i="1"/>
  <c r="K1083" i="1"/>
  <c r="P1083" i="1"/>
  <c r="I1083" i="1"/>
  <c r="K1115" i="1"/>
  <c r="I1115" i="1"/>
  <c r="K1070" i="1"/>
  <c r="I1070" i="1"/>
  <c r="P1070" i="1"/>
  <c r="K1084" i="1"/>
  <c r="P1084" i="1"/>
  <c r="I1084" i="1"/>
  <c r="F1101" i="1"/>
  <c r="P1101" i="1" s="1"/>
  <c r="K1099" i="1"/>
  <c r="I1099" i="1"/>
  <c r="P1116" i="1"/>
  <c r="K1116" i="1"/>
  <c r="I1116" i="1"/>
  <c r="Q1109" i="1"/>
  <c r="R1109" i="1" s="1"/>
  <c r="K1071" i="1"/>
  <c r="I1071" i="1"/>
  <c r="P1071" i="1"/>
  <c r="K1085" i="1"/>
  <c r="P1085" i="1"/>
  <c r="I1085" i="1"/>
  <c r="K1117" i="1"/>
  <c r="I1117" i="1"/>
  <c r="P1197" i="1"/>
  <c r="Q1197" i="1" s="1"/>
  <c r="R1197" i="1" s="1"/>
  <c r="K1197" i="1"/>
  <c r="P1127" i="1"/>
  <c r="K1073" i="1"/>
  <c r="I1073" i="1"/>
  <c r="P1073" i="1"/>
  <c r="F1257" i="1"/>
  <c r="K1255" i="1"/>
  <c r="I1255" i="1"/>
  <c r="P1117" i="1"/>
  <c r="K1075" i="1"/>
  <c r="I1075" i="1"/>
  <c r="P1075" i="1"/>
  <c r="K1074" i="1"/>
  <c r="P1074" i="1"/>
  <c r="I1074" i="1"/>
  <c r="K1256" i="1"/>
  <c r="I1256" i="1"/>
  <c r="Q1064" i="1"/>
  <c r="R1064" i="1" s="1"/>
  <c r="Q966" i="1"/>
  <c r="R966" i="1" s="1"/>
  <c r="Q960" i="1"/>
  <c r="R960" i="1" s="1"/>
  <c r="Q438" i="1"/>
  <c r="R438" i="1" s="1"/>
  <c r="Q557" i="1"/>
  <c r="R557" i="1" s="1"/>
  <c r="Q661" i="1"/>
  <c r="R661" i="1" s="1"/>
  <c r="Q685" i="1"/>
  <c r="R685" i="1" s="1"/>
  <c r="Q969" i="1"/>
  <c r="R969" i="1" s="1"/>
  <c r="Q1142" i="1"/>
  <c r="R1142" i="1" s="1"/>
  <c r="Q257" i="1"/>
  <c r="R257" i="1" s="1"/>
  <c r="Q333" i="1"/>
  <c r="R333" i="1" s="1"/>
  <c r="Q736" i="1"/>
  <c r="R736" i="1" s="1"/>
  <c r="Q934" i="1"/>
  <c r="R934" i="1" s="1"/>
  <c r="Q980" i="1"/>
  <c r="R980" i="1" s="1"/>
  <c r="Q1081" i="1"/>
  <c r="R1081" i="1" s="1"/>
  <c r="Q1090" i="1"/>
  <c r="R1090" i="1" s="1"/>
  <c r="Q1201" i="1"/>
  <c r="R1201" i="1" s="1"/>
  <c r="Q1213" i="1"/>
  <c r="R1213" i="1" s="1"/>
  <c r="Q157" i="1"/>
  <c r="R157" i="1" s="1"/>
  <c r="Q1015" i="1"/>
  <c r="R1015" i="1" s="1"/>
  <c r="Q1234" i="1"/>
  <c r="R1234" i="1" s="1"/>
  <c r="Q664" i="1"/>
  <c r="R664" i="1" s="1"/>
  <c r="Q1012" i="1"/>
  <c r="R1012" i="1" s="1"/>
  <c r="Q918" i="1"/>
  <c r="R918" i="1" s="1"/>
  <c r="Q801" i="1"/>
  <c r="R801" i="1" s="1"/>
  <c r="Q798" i="1"/>
  <c r="R798" i="1" s="1"/>
  <c r="Q792" i="1"/>
  <c r="R792" i="1" s="1"/>
  <c r="Q768" i="1"/>
  <c r="R768" i="1" s="1"/>
  <c r="Q663" i="1"/>
  <c r="R663" i="1" s="1"/>
  <c r="Q710" i="1"/>
  <c r="R710" i="1" s="1"/>
  <c r="Q700" i="1"/>
  <c r="R700" i="1" s="1"/>
  <c r="P1069" i="1"/>
  <c r="P1079" i="1"/>
  <c r="P1093" i="1"/>
  <c r="P1110" i="1"/>
  <c r="Q1110" i="1" s="1"/>
  <c r="R1110" i="1" s="1"/>
  <c r="I1197" i="1"/>
  <c r="P1226" i="1"/>
  <c r="K28" i="1"/>
  <c r="I28" i="1"/>
  <c r="Q258" i="1"/>
  <c r="R258" i="1" s="1"/>
  <c r="Q423" i="1"/>
  <c r="R423" i="1" s="1"/>
  <c r="Q723" i="1"/>
  <c r="R723" i="1" s="1"/>
  <c r="Q743" i="1"/>
  <c r="R743" i="1" s="1"/>
  <c r="Q846" i="1"/>
  <c r="R846" i="1" s="1"/>
  <c r="Q1004" i="1"/>
  <c r="R1004" i="1" s="1"/>
  <c r="I1127" i="1"/>
  <c r="Q1127" i="1" s="1"/>
  <c r="R1127" i="1" s="1"/>
  <c r="K29" i="1"/>
  <c r="I29" i="1"/>
  <c r="Q259" i="1"/>
  <c r="R259" i="1" s="1"/>
  <c r="Q387" i="1"/>
  <c r="R387" i="1" s="1"/>
  <c r="Q681" i="1"/>
  <c r="R681" i="1" s="1"/>
  <c r="Q850" i="1"/>
  <c r="R850" i="1" s="1"/>
  <c r="Q894" i="1"/>
  <c r="R894" i="1" s="1"/>
  <c r="Q914" i="1"/>
  <c r="R914" i="1" s="1"/>
  <c r="Q1018" i="1"/>
  <c r="R1018" i="1" s="1"/>
  <c r="I1042" i="1"/>
  <c r="I1053" i="1"/>
  <c r="Q1091" i="1"/>
  <c r="R1091" i="1" s="1"/>
  <c r="P1256" i="1"/>
  <c r="Q92" i="1"/>
  <c r="R92" i="1" s="1"/>
  <c r="Q294" i="1"/>
  <c r="R294" i="1" s="1"/>
  <c r="Q495" i="1"/>
  <c r="R495" i="1" s="1"/>
  <c r="Q976" i="1"/>
  <c r="R976" i="1" s="1"/>
  <c r="Q1035" i="1"/>
  <c r="R1035" i="1" s="1"/>
  <c r="P1094" i="1"/>
  <c r="Q1094" i="1" s="1"/>
  <c r="R1094" i="1" s="1"/>
  <c r="P1115" i="1"/>
  <c r="Q76" i="1"/>
  <c r="R76" i="1" s="1"/>
  <c r="P1042" i="1"/>
  <c r="P1053" i="1"/>
  <c r="Q529" i="1"/>
  <c r="R529" i="1" s="1"/>
  <c r="Q682" i="1"/>
  <c r="R682" i="1" s="1"/>
  <c r="Q882" i="1"/>
  <c r="R882" i="1" s="1"/>
  <c r="P1257" i="1"/>
  <c r="Q183" i="1"/>
  <c r="R183" i="1" s="1"/>
  <c r="Q679" i="1"/>
  <c r="R679" i="1" s="1"/>
  <c r="Q858" i="1"/>
  <c r="R858" i="1" s="1"/>
  <c r="Q999" i="1"/>
  <c r="R999" i="1" s="1"/>
  <c r="Q1250" i="1"/>
  <c r="R1250" i="1" s="1"/>
  <c r="Q558" i="1"/>
  <c r="R558" i="1" s="1"/>
  <c r="Q591" i="1"/>
  <c r="R591" i="1" s="1"/>
  <c r="Q787" i="1"/>
  <c r="R787" i="1" s="1"/>
  <c r="Q977" i="1"/>
  <c r="R977" i="1" s="1"/>
  <c r="P28" i="1"/>
  <c r="Q286" i="1"/>
  <c r="R286" i="1" s="1"/>
  <c r="Q893" i="1"/>
  <c r="R893" i="1" s="1"/>
  <c r="Q939" i="1"/>
  <c r="R939" i="1" s="1"/>
  <c r="Q1024" i="1"/>
  <c r="R1024" i="1" s="1"/>
  <c r="Q1120" i="1"/>
  <c r="R1120" i="1" s="1"/>
  <c r="Q1132" i="1"/>
  <c r="R1132" i="1" s="1"/>
  <c r="P29" i="1"/>
  <c r="Q497" i="1"/>
  <c r="R497" i="1" s="1"/>
  <c r="Q1003" i="1"/>
  <c r="R1003" i="1" s="1"/>
  <c r="Q1020" i="1"/>
  <c r="R1020" i="1" s="1"/>
  <c r="Q1037" i="1"/>
  <c r="R1037" i="1" s="1"/>
  <c r="P1099" i="1"/>
  <c r="P1225" i="1"/>
  <c r="Q667" i="1"/>
  <c r="R667" i="1" s="1"/>
  <c r="Q870" i="1"/>
  <c r="R870" i="1" s="1"/>
  <c r="Q927" i="1"/>
  <c r="R927" i="1" s="1"/>
  <c r="Q1017" i="1"/>
  <c r="R1017" i="1" s="1"/>
  <c r="I1093" i="1"/>
  <c r="Q549" i="1"/>
  <c r="R549" i="1" s="1"/>
  <c r="Q819" i="1"/>
  <c r="R819" i="1" s="1"/>
  <c r="Q920" i="1"/>
  <c r="R920" i="1" s="1"/>
  <c r="Q975" i="1"/>
  <c r="R975" i="1" s="1"/>
  <c r="Q989" i="1"/>
  <c r="R989" i="1" s="1"/>
  <c r="Q1011" i="1"/>
  <c r="R1011" i="1" s="1"/>
  <c r="Q1014" i="1"/>
  <c r="R1014" i="1" s="1"/>
  <c r="Q1190" i="1"/>
  <c r="R1190" i="1" s="1"/>
  <c r="Q1212" i="1"/>
  <c r="R1212" i="1" s="1"/>
  <c r="P1255" i="1"/>
  <c r="Q1255" i="1" s="1"/>
  <c r="R1255" i="1" s="1"/>
  <c r="Q567" i="1"/>
  <c r="R567" i="1" s="1"/>
  <c r="Q356" i="1"/>
  <c r="R356" i="1" s="1"/>
  <c r="Q26" i="1"/>
  <c r="R26" i="1" s="1"/>
  <c r="Q71" i="1"/>
  <c r="R71" i="1" s="1"/>
  <c r="Q187" i="1"/>
  <c r="R187" i="1" s="1"/>
  <c r="Q77" i="1"/>
  <c r="R77" i="1" s="1"/>
  <c r="Q678" i="1"/>
  <c r="R678" i="1" s="1"/>
  <c r="Q154" i="1"/>
  <c r="R154" i="1" s="1"/>
  <c r="Q590" i="1"/>
  <c r="R590" i="1" s="1"/>
  <c r="Q675" i="1"/>
  <c r="R675" i="1" s="1"/>
  <c r="Q44" i="1"/>
  <c r="R44" i="1" s="1"/>
  <c r="Q72" i="1"/>
  <c r="R72" i="1" s="1"/>
  <c r="Q83" i="1"/>
  <c r="R83" i="1" s="1"/>
  <c r="Q181" i="1"/>
  <c r="R181" i="1" s="1"/>
  <c r="Q197" i="1"/>
  <c r="R197" i="1" s="1"/>
  <c r="Q672" i="1"/>
  <c r="R672" i="1" s="1"/>
  <c r="Q52" i="1"/>
  <c r="R52" i="1" s="1"/>
  <c r="Q56" i="1"/>
  <c r="R56" i="1" s="1"/>
  <c r="Q79" i="1"/>
  <c r="R79" i="1" s="1"/>
  <c r="Q140" i="1"/>
  <c r="R140" i="1" s="1"/>
  <c r="Q209" i="1"/>
  <c r="R209" i="1" s="1"/>
  <c r="Q89" i="1"/>
  <c r="R89" i="1" s="1"/>
  <c r="Q46" i="1"/>
  <c r="R46" i="1" s="1"/>
  <c r="Q69" i="1"/>
  <c r="R69" i="1" s="1"/>
  <c r="Q74" i="1"/>
  <c r="R74" i="1" s="1"/>
  <c r="Q179" i="1"/>
  <c r="R179" i="1" s="1"/>
  <c r="Q182" i="1"/>
  <c r="R182" i="1" s="1"/>
  <c r="Q687" i="1"/>
  <c r="R687" i="1" s="1"/>
  <c r="Q769" i="1"/>
  <c r="R769" i="1" s="1"/>
  <c r="Q842" i="1"/>
  <c r="R842" i="1" s="1"/>
  <c r="Q50" i="1"/>
  <c r="R50" i="1" s="1"/>
  <c r="Q91" i="1"/>
  <c r="R91" i="1" s="1"/>
  <c r="Q141" i="1"/>
  <c r="R141" i="1" s="1"/>
  <c r="Q1063" i="1"/>
  <c r="R1063" i="1" s="1"/>
  <c r="Q285" i="1"/>
  <c r="R285" i="1" s="1"/>
  <c r="Q319" i="1"/>
  <c r="R319" i="1" s="1"/>
  <c r="Q431" i="1"/>
  <c r="R431" i="1" s="1"/>
  <c r="Q466" i="1"/>
  <c r="R466" i="1" s="1"/>
  <c r="Q553" i="1"/>
  <c r="R553" i="1" s="1"/>
  <c r="Q571" i="1"/>
  <c r="R571" i="1" s="1"/>
  <c r="Q600" i="1"/>
  <c r="R600" i="1" s="1"/>
  <c r="Q636" i="1"/>
  <c r="R636" i="1" s="1"/>
  <c r="Q659" i="1"/>
  <c r="R659" i="1" s="1"/>
  <c r="Q697" i="1"/>
  <c r="R697" i="1" s="1"/>
  <c r="Q707" i="1"/>
  <c r="R707" i="1" s="1"/>
  <c r="Q720" i="1"/>
  <c r="R720" i="1" s="1"/>
  <c r="Q733" i="1"/>
  <c r="R733" i="1" s="1"/>
  <c r="Q748" i="1"/>
  <c r="R748" i="1" s="1"/>
  <c r="Q830" i="1"/>
  <c r="R830" i="1" s="1"/>
  <c r="Q986" i="1"/>
  <c r="R986" i="1" s="1"/>
  <c r="Q1032" i="1"/>
  <c r="R1032" i="1" s="1"/>
  <c r="Q1060" i="1"/>
  <c r="R1060" i="1" s="1"/>
  <c r="Q1097" i="1"/>
  <c r="R1097" i="1" s="1"/>
  <c r="Q1103" i="1"/>
  <c r="R1103" i="1" s="1"/>
  <c r="Q1153" i="1"/>
  <c r="R1153" i="1" s="1"/>
  <c r="Q1159" i="1"/>
  <c r="R1159" i="1" s="1"/>
  <c r="Q1165" i="1"/>
  <c r="R1165" i="1" s="1"/>
  <c r="Q1176" i="1"/>
  <c r="R1176" i="1" s="1"/>
  <c r="Q1179" i="1"/>
  <c r="R1179" i="1" s="1"/>
  <c r="Q1182" i="1"/>
  <c r="R1182" i="1" s="1"/>
  <c r="Q1193" i="1"/>
  <c r="R1193" i="1" s="1"/>
  <c r="Q1220" i="1"/>
  <c r="R1220" i="1" s="1"/>
  <c r="Q218" i="1"/>
  <c r="R218" i="1" s="1"/>
  <c r="Q398" i="1"/>
  <c r="R398" i="1" s="1"/>
  <c r="Q541" i="1"/>
  <c r="R541" i="1" s="1"/>
  <c r="Q564" i="1"/>
  <c r="R564" i="1" s="1"/>
  <c r="Q578" i="1"/>
  <c r="R578" i="1" s="1"/>
  <c r="Q597" i="1"/>
  <c r="R597" i="1" s="1"/>
  <c r="Q694" i="1"/>
  <c r="R694" i="1" s="1"/>
  <c r="Q704" i="1"/>
  <c r="R704" i="1" s="1"/>
  <c r="Q717" i="1"/>
  <c r="R717" i="1" s="1"/>
  <c r="Q730" i="1"/>
  <c r="R730" i="1" s="1"/>
  <c r="Q741" i="1"/>
  <c r="R741" i="1" s="1"/>
  <c r="Q759" i="1"/>
  <c r="R759" i="1" s="1"/>
  <c r="Q766" i="1"/>
  <c r="R766" i="1" s="1"/>
  <c r="Q780" i="1"/>
  <c r="R780" i="1" s="1"/>
  <c r="Q794" i="1"/>
  <c r="R794" i="1" s="1"/>
  <c r="Q805" i="1"/>
  <c r="R805" i="1" s="1"/>
  <c r="Q812" i="1"/>
  <c r="R812" i="1" s="1"/>
  <c r="Q824" i="1"/>
  <c r="R824" i="1" s="1"/>
  <c r="Q867" i="1"/>
  <c r="R867" i="1" s="1"/>
  <c r="Q895" i="1"/>
  <c r="R895" i="1" s="1"/>
  <c r="Q907" i="1"/>
  <c r="R907" i="1" s="1"/>
  <c r="Q910" i="1"/>
  <c r="R910" i="1" s="1"/>
  <c r="Q919" i="1"/>
  <c r="R919" i="1" s="1"/>
  <c r="Q922" i="1"/>
  <c r="R922" i="1" s="1"/>
  <c r="Q993" i="1"/>
  <c r="R993" i="1" s="1"/>
  <c r="Q1006" i="1"/>
  <c r="R1006" i="1" s="1"/>
  <c r="Q1029" i="1"/>
  <c r="R1029" i="1" s="1"/>
  <c r="Q1057" i="1"/>
  <c r="R1057" i="1" s="1"/>
  <c r="Q1066" i="1"/>
  <c r="R1066" i="1" s="1"/>
  <c r="Q1072" i="1"/>
  <c r="R1072" i="1" s="1"/>
  <c r="Q1185" i="1"/>
  <c r="R1185" i="1" s="1"/>
  <c r="Q1188" i="1"/>
  <c r="R1188" i="1" s="1"/>
  <c r="Q1241" i="1"/>
  <c r="R1241" i="1" s="1"/>
  <c r="Q226" i="1"/>
  <c r="R226" i="1" s="1"/>
  <c r="Q262" i="1"/>
  <c r="R262" i="1" s="1"/>
  <c r="Q265" i="1"/>
  <c r="R265" i="1" s="1"/>
  <c r="Q272" i="1"/>
  <c r="R272" i="1" s="1"/>
  <c r="Q343" i="1"/>
  <c r="R343" i="1" s="1"/>
  <c r="Q367" i="1"/>
  <c r="R367" i="1" s="1"/>
  <c r="Q395" i="1"/>
  <c r="R395" i="1" s="1"/>
  <c r="Q492" i="1"/>
  <c r="R492" i="1" s="1"/>
  <c r="Q550" i="1"/>
  <c r="R550" i="1" s="1"/>
  <c r="Q594" i="1"/>
  <c r="R594" i="1" s="1"/>
  <c r="Q604" i="1"/>
  <c r="R604" i="1" s="1"/>
  <c r="Q617" i="1"/>
  <c r="R617" i="1" s="1"/>
  <c r="Q640" i="1"/>
  <c r="R640" i="1" s="1"/>
  <c r="Q653" i="1"/>
  <c r="R653" i="1" s="1"/>
  <c r="Q691" i="1"/>
  <c r="R691" i="1" s="1"/>
  <c r="Q701" i="1"/>
  <c r="R701" i="1" s="1"/>
  <c r="Q714" i="1"/>
  <c r="R714" i="1" s="1"/>
  <c r="Q727" i="1"/>
  <c r="R727" i="1" s="1"/>
  <c r="Q737" i="1"/>
  <c r="R737" i="1" s="1"/>
  <c r="Q745" i="1"/>
  <c r="R745" i="1" s="1"/>
  <c r="Q752" i="1"/>
  <c r="R752" i="1" s="1"/>
  <c r="Q784" i="1"/>
  <c r="R784" i="1" s="1"/>
  <c r="Q827" i="1"/>
  <c r="R827" i="1" s="1"/>
  <c r="Q834" i="1"/>
  <c r="R834" i="1" s="1"/>
  <c r="Q837" i="1"/>
  <c r="R837" i="1" s="1"/>
  <c r="Q898" i="1"/>
  <c r="R898" i="1" s="1"/>
  <c r="Q990" i="1"/>
  <c r="R990" i="1" s="1"/>
  <c r="Q1026" i="1"/>
  <c r="R1026" i="1" s="1"/>
  <c r="Q1077" i="1"/>
  <c r="R1077" i="1" s="1"/>
  <c r="Q1080" i="1"/>
  <c r="R1080" i="1" s="1"/>
  <c r="Q1086" i="1"/>
  <c r="R1086" i="1" s="1"/>
  <c r="Q1145" i="1"/>
  <c r="R1145" i="1" s="1"/>
  <c r="Q1171" i="1"/>
  <c r="R1171" i="1" s="1"/>
  <c r="Q1191" i="1"/>
  <c r="R1191" i="1" s="1"/>
  <c r="Q1205" i="1"/>
  <c r="R1205" i="1" s="1"/>
  <c r="Q233" i="1"/>
  <c r="R233" i="1" s="1"/>
  <c r="Q295" i="1"/>
  <c r="R295" i="1" s="1"/>
  <c r="Q320" i="1"/>
  <c r="R320" i="1" s="1"/>
  <c r="Q330" i="1"/>
  <c r="R330" i="1" s="1"/>
  <c r="Q382" i="1"/>
  <c r="R382" i="1" s="1"/>
  <c r="Q520" i="1"/>
  <c r="R520" i="1" s="1"/>
  <c r="Q601" i="1"/>
  <c r="R601" i="1" s="1"/>
  <c r="Q614" i="1"/>
  <c r="R614" i="1" s="1"/>
  <c r="Q637" i="1"/>
  <c r="R637" i="1" s="1"/>
  <c r="Q650" i="1"/>
  <c r="R650" i="1" s="1"/>
  <c r="Q698" i="1"/>
  <c r="R698" i="1" s="1"/>
  <c r="Q711" i="1"/>
  <c r="R711" i="1" s="1"/>
  <c r="Q724" i="1"/>
  <c r="R724" i="1" s="1"/>
  <c r="Q734" i="1"/>
  <c r="R734" i="1" s="1"/>
  <c r="Q756" i="1"/>
  <c r="R756" i="1" s="1"/>
  <c r="Q777" i="1"/>
  <c r="R777" i="1" s="1"/>
  <c r="Q840" i="1"/>
  <c r="R840" i="1" s="1"/>
  <c r="Q874" i="1"/>
  <c r="R874" i="1" s="1"/>
  <c r="Q883" i="1"/>
  <c r="R883" i="1" s="1"/>
  <c r="Q886" i="1"/>
  <c r="R886" i="1" s="1"/>
  <c r="Q929" i="1"/>
  <c r="R929" i="1" s="1"/>
  <c r="Q932" i="1"/>
  <c r="R932" i="1" s="1"/>
  <c r="Q935" i="1"/>
  <c r="R935" i="1" s="1"/>
  <c r="Q987" i="1"/>
  <c r="R987" i="1" s="1"/>
  <c r="Q1000" i="1"/>
  <c r="R1000" i="1" s="1"/>
  <c r="Q1013" i="1"/>
  <c r="R1013" i="1" s="1"/>
  <c r="Q1016" i="1"/>
  <c r="R1016" i="1" s="1"/>
  <c r="Q1019" i="1"/>
  <c r="R1019" i="1" s="1"/>
  <c r="Q1023" i="1"/>
  <c r="R1023" i="1" s="1"/>
  <c r="Q1047" i="1"/>
  <c r="R1047" i="1" s="1"/>
  <c r="Q1089" i="1"/>
  <c r="R1089" i="1" s="1"/>
  <c r="Q1214" i="1"/>
  <c r="R1214" i="1" s="1"/>
  <c r="Q1222" i="1"/>
  <c r="R1222" i="1" s="1"/>
  <c r="Q1245" i="1"/>
  <c r="R1245" i="1" s="1"/>
  <c r="Q1258" i="1"/>
  <c r="R1258" i="1" s="1"/>
  <c r="Q386" i="1"/>
  <c r="R386" i="1" s="1"/>
  <c r="Q598" i="1"/>
  <c r="R598" i="1" s="1"/>
  <c r="Q611" i="1"/>
  <c r="R611" i="1" s="1"/>
  <c r="Q624" i="1"/>
  <c r="R624" i="1" s="1"/>
  <c r="Q634" i="1"/>
  <c r="R634" i="1" s="1"/>
  <c r="Q647" i="1"/>
  <c r="R647" i="1" s="1"/>
  <c r="Q695" i="1"/>
  <c r="R695" i="1" s="1"/>
  <c r="Q708" i="1"/>
  <c r="R708" i="1" s="1"/>
  <c r="Q721" i="1"/>
  <c r="R721" i="1" s="1"/>
  <c r="Q731" i="1"/>
  <c r="R731" i="1" s="1"/>
  <c r="Q831" i="1"/>
  <c r="R831" i="1" s="1"/>
  <c r="Q859" i="1"/>
  <c r="R859" i="1" s="1"/>
  <c r="Q871" i="1"/>
  <c r="R871" i="1" s="1"/>
  <c r="Q1034" i="1"/>
  <c r="R1034" i="1" s="1"/>
  <c r="Q1044" i="1"/>
  <c r="R1044" i="1" s="1"/>
  <c r="Q1061" i="1"/>
  <c r="R1061" i="1" s="1"/>
  <c r="Q1119" i="1"/>
  <c r="R1119" i="1" s="1"/>
  <c r="Q1122" i="1"/>
  <c r="R1122" i="1" s="1"/>
  <c r="Q1125" i="1"/>
  <c r="R1125" i="1" s="1"/>
  <c r="Q1128" i="1"/>
  <c r="R1128" i="1" s="1"/>
  <c r="Q1131" i="1"/>
  <c r="R1131" i="1" s="1"/>
  <c r="Q1134" i="1"/>
  <c r="R1134" i="1" s="1"/>
  <c r="Q1140" i="1"/>
  <c r="R1140" i="1" s="1"/>
  <c r="Q1157" i="1"/>
  <c r="R1157" i="1" s="1"/>
  <c r="Q1177" i="1"/>
  <c r="R1177" i="1" s="1"/>
  <c r="Q1183" i="1"/>
  <c r="R1183" i="1" s="1"/>
  <c r="Q1194" i="1"/>
  <c r="R1194" i="1" s="1"/>
  <c r="Q1232" i="1"/>
  <c r="R1232" i="1" s="1"/>
  <c r="Q368" i="1"/>
  <c r="R368" i="1" s="1"/>
  <c r="Q399" i="1"/>
  <c r="R399" i="1" s="1"/>
  <c r="Q412" i="1"/>
  <c r="R412" i="1" s="1"/>
  <c r="Q513" i="1"/>
  <c r="R513" i="1" s="1"/>
  <c r="Q531" i="1"/>
  <c r="R531" i="1" s="1"/>
  <c r="Q595" i="1"/>
  <c r="R595" i="1" s="1"/>
  <c r="Q692" i="1"/>
  <c r="R692" i="1" s="1"/>
  <c r="Q705" i="1"/>
  <c r="R705" i="1" s="1"/>
  <c r="Q718" i="1"/>
  <c r="R718" i="1" s="1"/>
  <c r="Q728" i="1"/>
  <c r="R728" i="1" s="1"/>
  <c r="Q825" i="1"/>
  <c r="R825" i="1" s="1"/>
  <c r="Q862" i="1"/>
  <c r="R862" i="1" s="1"/>
  <c r="Q908" i="1"/>
  <c r="R908" i="1" s="1"/>
  <c r="Q917" i="1"/>
  <c r="R917" i="1" s="1"/>
  <c r="Q923" i="1"/>
  <c r="R923" i="1" s="1"/>
  <c r="Q957" i="1"/>
  <c r="R957" i="1" s="1"/>
  <c r="Q967" i="1"/>
  <c r="R967" i="1" s="1"/>
  <c r="Q981" i="1"/>
  <c r="R981" i="1" s="1"/>
  <c r="Q994" i="1"/>
  <c r="R994" i="1" s="1"/>
  <c r="Q1030" i="1"/>
  <c r="R1030" i="1" s="1"/>
  <c r="Q1041" i="1"/>
  <c r="R1041" i="1" s="1"/>
  <c r="Q1051" i="1"/>
  <c r="R1051" i="1" s="1"/>
  <c r="Q1108" i="1"/>
  <c r="R1108" i="1" s="1"/>
  <c r="Q1137" i="1"/>
  <c r="R1137" i="1" s="1"/>
  <c r="Q1143" i="1"/>
  <c r="R1143" i="1" s="1"/>
  <c r="Q1189" i="1"/>
  <c r="R1189" i="1" s="1"/>
  <c r="Q545" i="1"/>
  <c r="R545" i="1" s="1"/>
  <c r="Q263" i="1"/>
  <c r="R263" i="1" s="1"/>
  <c r="Q306" i="1"/>
  <c r="R306" i="1" s="1"/>
  <c r="Q376" i="1"/>
  <c r="R376" i="1" s="1"/>
  <c r="Q383" i="1"/>
  <c r="R383" i="1" s="1"/>
  <c r="Q396" i="1"/>
  <c r="R396" i="1" s="1"/>
  <c r="Q409" i="1"/>
  <c r="R409" i="1" s="1"/>
  <c r="Q493" i="1"/>
  <c r="R493" i="1" s="1"/>
  <c r="Q562" i="1"/>
  <c r="R562" i="1" s="1"/>
  <c r="Q592" i="1"/>
  <c r="R592" i="1" s="1"/>
  <c r="Q628" i="1"/>
  <c r="R628" i="1" s="1"/>
  <c r="Q641" i="1"/>
  <c r="R641" i="1" s="1"/>
  <c r="Q654" i="1"/>
  <c r="R654" i="1" s="1"/>
  <c r="Q662" i="1"/>
  <c r="R662" i="1" s="1"/>
  <c r="Q665" i="1"/>
  <c r="R665" i="1" s="1"/>
  <c r="Q668" i="1"/>
  <c r="R668" i="1" s="1"/>
  <c r="Q671" i="1"/>
  <c r="R671" i="1" s="1"/>
  <c r="Q674" i="1"/>
  <c r="R674" i="1" s="1"/>
  <c r="Q677" i="1"/>
  <c r="R677" i="1" s="1"/>
  <c r="Q680" i="1"/>
  <c r="R680" i="1" s="1"/>
  <c r="Q683" i="1"/>
  <c r="R683" i="1" s="1"/>
  <c r="Q686" i="1"/>
  <c r="R686" i="1" s="1"/>
  <c r="Q689" i="1"/>
  <c r="R689" i="1" s="1"/>
  <c r="Q702" i="1"/>
  <c r="R702" i="1" s="1"/>
  <c r="Q715" i="1"/>
  <c r="R715" i="1" s="1"/>
  <c r="Q725" i="1"/>
  <c r="R725" i="1" s="1"/>
  <c r="Q738" i="1"/>
  <c r="R738" i="1" s="1"/>
  <c r="Q1027" i="1"/>
  <c r="R1027" i="1" s="1"/>
  <c r="Q1038" i="1"/>
  <c r="R1038" i="1" s="1"/>
  <c r="Q1048" i="1"/>
  <c r="R1048" i="1" s="1"/>
  <c r="Q1111" i="1"/>
  <c r="R1111" i="1" s="1"/>
  <c r="Q1114" i="1"/>
  <c r="R1114" i="1" s="1"/>
  <c r="Q1146" i="1"/>
  <c r="R1146" i="1" s="1"/>
  <c r="Q1149" i="1"/>
  <c r="R1149" i="1" s="1"/>
  <c r="Q1169" i="1"/>
  <c r="R1169" i="1" s="1"/>
  <c r="Q1200" i="1"/>
  <c r="R1200" i="1" s="1"/>
  <c r="Q1203" i="1"/>
  <c r="R1203" i="1" s="1"/>
  <c r="Q260" i="1"/>
  <c r="R260" i="1" s="1"/>
  <c r="Q318" i="1"/>
  <c r="R318" i="1" s="1"/>
  <c r="Q490" i="1"/>
  <c r="R490" i="1" s="1"/>
  <c r="Q582" i="1"/>
  <c r="R582" i="1" s="1"/>
  <c r="Q585" i="1"/>
  <c r="R585" i="1" s="1"/>
  <c r="Q699" i="1"/>
  <c r="R699" i="1" s="1"/>
  <c r="Q712" i="1"/>
  <c r="R712" i="1" s="1"/>
  <c r="Q722" i="1"/>
  <c r="R722" i="1" s="1"/>
  <c r="Q735" i="1"/>
  <c r="R735" i="1" s="1"/>
  <c r="Q750" i="1"/>
  <c r="R750" i="1" s="1"/>
  <c r="Q764" i="1"/>
  <c r="R764" i="1" s="1"/>
  <c r="Q771" i="1"/>
  <c r="R771" i="1" s="1"/>
  <c r="Q789" i="1"/>
  <c r="R789" i="1" s="1"/>
  <c r="Q803" i="1"/>
  <c r="R803" i="1" s="1"/>
  <c r="Q821" i="1"/>
  <c r="R821" i="1" s="1"/>
  <c r="Q832" i="1"/>
  <c r="R832" i="1" s="1"/>
  <c r="Q835" i="1"/>
  <c r="R835" i="1" s="1"/>
  <c r="Q881" i="1"/>
  <c r="R881" i="1" s="1"/>
  <c r="Q1102" i="1"/>
  <c r="R1102" i="1" s="1"/>
  <c r="Q1209" i="1"/>
  <c r="R1209" i="1" s="1"/>
  <c r="Q1216" i="1"/>
  <c r="R1216" i="1" s="1"/>
  <c r="Q1223" i="1"/>
  <c r="R1223" i="1" s="1"/>
  <c r="Q1233" i="1"/>
  <c r="R1233" i="1" s="1"/>
  <c r="Q1246" i="1"/>
  <c r="R1246" i="1" s="1"/>
  <c r="Q406" i="1"/>
  <c r="R406" i="1" s="1"/>
  <c r="Q559" i="1"/>
  <c r="R559" i="1" s="1"/>
  <c r="Q566" i="1"/>
  <c r="R566" i="1" s="1"/>
  <c r="Q577" i="1"/>
  <c r="R577" i="1" s="1"/>
  <c r="Q599" i="1"/>
  <c r="R599" i="1" s="1"/>
  <c r="Q612" i="1"/>
  <c r="R612" i="1" s="1"/>
  <c r="Q622" i="1"/>
  <c r="R622" i="1" s="1"/>
  <c r="Q635" i="1"/>
  <c r="R635" i="1" s="1"/>
  <c r="Q658" i="1"/>
  <c r="R658" i="1" s="1"/>
  <c r="Q696" i="1"/>
  <c r="R696" i="1" s="1"/>
  <c r="Q709" i="1"/>
  <c r="R709" i="1" s="1"/>
  <c r="Q719" i="1"/>
  <c r="R719" i="1" s="1"/>
  <c r="Q732" i="1"/>
  <c r="R732" i="1" s="1"/>
  <c r="Q872" i="1"/>
  <c r="R872" i="1" s="1"/>
  <c r="Q875" i="1"/>
  <c r="R875" i="1" s="1"/>
  <c r="Q878" i="1"/>
  <c r="R878" i="1" s="1"/>
  <c r="Q884" i="1"/>
  <c r="R884" i="1" s="1"/>
  <c r="Q949" i="1"/>
  <c r="R949" i="1" s="1"/>
  <c r="Q998" i="1"/>
  <c r="R998" i="1" s="1"/>
  <c r="Q1076" i="1"/>
  <c r="R1076" i="1" s="1"/>
  <c r="Q1123" i="1"/>
  <c r="R1123" i="1" s="1"/>
  <c r="Q1126" i="1"/>
  <c r="R1126" i="1" s="1"/>
  <c r="Q1129" i="1"/>
  <c r="R1129" i="1" s="1"/>
  <c r="Q1135" i="1"/>
  <c r="R1135" i="1" s="1"/>
  <c r="Q1141" i="1"/>
  <c r="R1141" i="1" s="1"/>
  <c r="Q1152" i="1"/>
  <c r="R1152" i="1" s="1"/>
  <c r="Q1155" i="1"/>
  <c r="R1155" i="1" s="1"/>
  <c r="Q1158" i="1"/>
  <c r="R1158" i="1" s="1"/>
  <c r="Q1161" i="1"/>
  <c r="R1161" i="1" s="1"/>
  <c r="Q1164" i="1"/>
  <c r="R1164" i="1" s="1"/>
  <c r="Q1167" i="1"/>
  <c r="R1167" i="1" s="1"/>
  <c r="Q1181" i="1"/>
  <c r="R1181" i="1" s="1"/>
  <c r="Q1195" i="1"/>
  <c r="R1195" i="1" s="1"/>
  <c r="Q1230" i="1"/>
  <c r="R1230" i="1" s="1"/>
  <c r="Q1243" i="1"/>
  <c r="R1243" i="1" s="1"/>
  <c r="Q1256" i="1"/>
  <c r="R1256" i="1" s="1"/>
  <c r="Q249" i="1"/>
  <c r="R249" i="1" s="1"/>
  <c r="Q307" i="1"/>
  <c r="R307" i="1" s="1"/>
  <c r="Q332" i="1"/>
  <c r="R332" i="1" s="1"/>
  <c r="Q346" i="1"/>
  <c r="R346" i="1" s="1"/>
  <c r="Q349" i="1"/>
  <c r="R349" i="1" s="1"/>
  <c r="Q377" i="1"/>
  <c r="R377" i="1" s="1"/>
  <c r="Q403" i="1"/>
  <c r="R403" i="1" s="1"/>
  <c r="Q410" i="1"/>
  <c r="R410" i="1" s="1"/>
  <c r="Q515" i="1"/>
  <c r="R515" i="1" s="1"/>
  <c r="Q552" i="1"/>
  <c r="R552" i="1" s="1"/>
  <c r="Q570" i="1"/>
  <c r="R570" i="1" s="1"/>
  <c r="Q580" i="1"/>
  <c r="R580" i="1" s="1"/>
  <c r="Q609" i="1"/>
  <c r="R609" i="1" s="1"/>
  <c r="Q645" i="1"/>
  <c r="R645" i="1" s="1"/>
  <c r="Q693" i="1"/>
  <c r="R693" i="1" s="1"/>
  <c r="Q706" i="1"/>
  <c r="R706" i="1" s="1"/>
  <c r="Q716" i="1"/>
  <c r="R716" i="1" s="1"/>
  <c r="Q729" i="1"/>
  <c r="R729" i="1" s="1"/>
  <c r="Q829" i="1"/>
  <c r="R829" i="1" s="1"/>
  <c r="Q857" i="1"/>
  <c r="R857" i="1" s="1"/>
  <c r="Q860" i="1"/>
  <c r="R860" i="1" s="1"/>
  <c r="Q952" i="1"/>
  <c r="R952" i="1" s="1"/>
  <c r="Q958" i="1"/>
  <c r="R958" i="1" s="1"/>
  <c r="Q1068" i="1"/>
  <c r="R1068" i="1" s="1"/>
  <c r="Q1082" i="1"/>
  <c r="R1082" i="1" s="1"/>
  <c r="Q1088" i="1"/>
  <c r="R1088" i="1" s="1"/>
  <c r="Q1227" i="1"/>
  <c r="R1227" i="1" s="1"/>
  <c r="Q1240" i="1"/>
  <c r="R1240" i="1" s="1"/>
  <c r="Q1253" i="1"/>
  <c r="R1253" i="1" s="1"/>
  <c r="Q302" i="1"/>
  <c r="R302" i="1" s="1"/>
  <c r="Q352" i="1"/>
  <c r="R352" i="1" s="1"/>
  <c r="Q355" i="1"/>
  <c r="R355" i="1" s="1"/>
  <c r="Q358" i="1"/>
  <c r="R358" i="1" s="1"/>
  <c r="Q417" i="1"/>
  <c r="R417" i="1" s="1"/>
  <c r="Q491" i="1"/>
  <c r="R491" i="1" s="1"/>
  <c r="Q494" i="1"/>
  <c r="R494" i="1" s="1"/>
  <c r="Q556" i="1"/>
  <c r="R556" i="1" s="1"/>
  <c r="Q563" i="1"/>
  <c r="R563" i="1" s="1"/>
  <c r="Q574" i="1"/>
  <c r="R574" i="1" s="1"/>
  <c r="Q583" i="1"/>
  <c r="R583" i="1" s="1"/>
  <c r="Q586" i="1"/>
  <c r="R586" i="1" s="1"/>
  <c r="Q593" i="1"/>
  <c r="R593" i="1" s="1"/>
  <c r="Q606" i="1"/>
  <c r="R606" i="1" s="1"/>
  <c r="Q616" i="1"/>
  <c r="R616" i="1" s="1"/>
  <c r="Q629" i="1"/>
  <c r="R629" i="1" s="1"/>
  <c r="Q652" i="1"/>
  <c r="R652" i="1" s="1"/>
  <c r="Q690" i="1"/>
  <c r="R690" i="1" s="1"/>
  <c r="Q703" i="1"/>
  <c r="R703" i="1" s="1"/>
  <c r="Q713" i="1"/>
  <c r="R713" i="1" s="1"/>
  <c r="Q726" i="1"/>
  <c r="R726" i="1" s="1"/>
  <c r="Q790" i="1"/>
  <c r="R790" i="1" s="1"/>
  <c r="Q804" i="1"/>
  <c r="R804" i="1" s="1"/>
  <c r="Q823" i="1"/>
  <c r="R823" i="1" s="1"/>
  <c r="Q836" i="1"/>
  <c r="R836" i="1" s="1"/>
  <c r="Q845" i="1"/>
  <c r="R845" i="1" s="1"/>
  <c r="Q851" i="1"/>
  <c r="R851" i="1" s="1"/>
  <c r="Q903" i="1"/>
  <c r="R903" i="1" s="1"/>
  <c r="Q928" i="1"/>
  <c r="R928" i="1" s="1"/>
  <c r="Q940" i="1"/>
  <c r="R940" i="1" s="1"/>
  <c r="Q943" i="1"/>
  <c r="R943" i="1" s="1"/>
  <c r="Q1112" i="1"/>
  <c r="R1112" i="1" s="1"/>
  <c r="Q1147" i="1"/>
  <c r="R1147" i="1" s="1"/>
  <c r="Q1170" i="1"/>
  <c r="R1170" i="1" s="1"/>
  <c r="Q1173" i="1"/>
  <c r="R1173" i="1" s="1"/>
  <c r="Q1224" i="1"/>
  <c r="R1224" i="1" s="1"/>
  <c r="Q1237" i="1"/>
  <c r="R1237" i="1" s="1"/>
  <c r="Q180" i="1"/>
  <c r="R180" i="1" s="1"/>
  <c r="Q261" i="1"/>
  <c r="R261" i="1" s="1"/>
  <c r="Q528" i="1"/>
  <c r="R528" i="1" s="1"/>
  <c r="Q1166" i="1"/>
  <c r="R1166" i="1" s="1"/>
  <c r="Q192" i="1"/>
  <c r="R192" i="1" s="1"/>
  <c r="Q205" i="1"/>
  <c r="R205" i="1" s="1"/>
  <c r="Q864" i="1"/>
  <c r="R864" i="1" s="1"/>
  <c r="Q900" i="1"/>
  <c r="R900" i="1" s="1"/>
  <c r="Q951" i="1"/>
  <c r="R951" i="1" s="1"/>
  <c r="Q963" i="1"/>
  <c r="R963" i="1" s="1"/>
  <c r="Q1148" i="1"/>
  <c r="R1148" i="1" s="1"/>
  <c r="Q1172" i="1"/>
  <c r="R1172" i="1" s="1"/>
  <c r="Q1196" i="1"/>
  <c r="R1196" i="1" s="1"/>
  <c r="Q348" i="1"/>
  <c r="R348" i="1" s="1"/>
  <c r="Q381" i="1"/>
  <c r="R381" i="1" s="1"/>
  <c r="Q873" i="1"/>
  <c r="R873" i="1" s="1"/>
  <c r="Q909" i="1"/>
  <c r="R909" i="1" s="1"/>
  <c r="Q156" i="1"/>
  <c r="R156" i="1" s="1"/>
  <c r="Q351" i="1"/>
  <c r="R351" i="1" s="1"/>
  <c r="Q378" i="1"/>
  <c r="R378" i="1" s="1"/>
  <c r="Q876" i="1"/>
  <c r="R876" i="1" s="1"/>
  <c r="Q912" i="1"/>
  <c r="R912" i="1" s="1"/>
  <c r="Q944" i="1"/>
  <c r="R944" i="1" s="1"/>
  <c r="Q1118" i="1"/>
  <c r="R1118" i="1" s="1"/>
  <c r="Q264" i="1"/>
  <c r="R264" i="1" s="1"/>
  <c r="Q345" i="1"/>
  <c r="R345" i="1" s="1"/>
  <c r="Q363" i="1"/>
  <c r="R363" i="1" s="1"/>
  <c r="Q221" i="1"/>
  <c r="R221" i="1" s="1"/>
  <c r="Q354" i="1"/>
  <c r="R354" i="1" s="1"/>
  <c r="Q360" i="1"/>
  <c r="R360" i="1" s="1"/>
  <c r="Q375" i="1"/>
  <c r="R375" i="1" s="1"/>
  <c r="Q843" i="1"/>
  <c r="R843" i="1" s="1"/>
  <c r="Q941" i="1"/>
  <c r="R941" i="1" s="1"/>
  <c r="Q1113" i="1"/>
  <c r="R1113" i="1" s="1"/>
  <c r="Q1124" i="1"/>
  <c r="R1124" i="1" s="1"/>
  <c r="Q1154" i="1"/>
  <c r="R1154" i="1" s="1"/>
  <c r="Q1178" i="1"/>
  <c r="R1178" i="1" s="1"/>
  <c r="Q1202" i="1"/>
  <c r="R1202" i="1" s="1"/>
  <c r="Q357" i="1"/>
  <c r="R357" i="1" s="1"/>
  <c r="Q551" i="1"/>
  <c r="R551" i="1" s="1"/>
  <c r="Q849" i="1"/>
  <c r="R849" i="1" s="1"/>
  <c r="Q885" i="1"/>
  <c r="R885" i="1" s="1"/>
  <c r="Q921" i="1"/>
  <c r="R921" i="1" s="1"/>
  <c r="Q924" i="1"/>
  <c r="R924" i="1" s="1"/>
  <c r="Q930" i="1"/>
  <c r="R930" i="1" s="1"/>
  <c r="Q933" i="1"/>
  <c r="R933" i="1" s="1"/>
  <c r="Q936" i="1"/>
  <c r="R936" i="1" s="1"/>
  <c r="Q953" i="1"/>
  <c r="R953" i="1" s="1"/>
  <c r="Q1130" i="1"/>
  <c r="R1130" i="1" s="1"/>
  <c r="Q43" i="1"/>
  <c r="R43" i="1" s="1"/>
  <c r="Q429" i="1"/>
  <c r="R429" i="1" s="1"/>
  <c r="Q510" i="1"/>
  <c r="R510" i="1" s="1"/>
  <c r="Q548" i="1"/>
  <c r="R548" i="1" s="1"/>
  <c r="Q852" i="1"/>
  <c r="R852" i="1" s="1"/>
  <c r="Q888" i="1"/>
  <c r="R888" i="1" s="1"/>
  <c r="Q945" i="1"/>
  <c r="R945" i="1" s="1"/>
  <c r="Q950" i="1"/>
  <c r="R950" i="1" s="1"/>
  <c r="Q962" i="1"/>
  <c r="R962" i="1" s="1"/>
  <c r="Q1133" i="1"/>
  <c r="R1133" i="1" s="1"/>
  <c r="Q1160" i="1"/>
  <c r="R1160" i="1" s="1"/>
  <c r="Q1184" i="1"/>
  <c r="R1184" i="1" s="1"/>
  <c r="Q384" i="1"/>
  <c r="R384" i="1" s="1"/>
  <c r="Q204" i="1"/>
  <c r="R204" i="1" s="1"/>
  <c r="Q232" i="1"/>
  <c r="R232" i="1" s="1"/>
  <c r="Q855" i="1"/>
  <c r="R855" i="1" s="1"/>
  <c r="Q942" i="1"/>
  <c r="R942" i="1" s="1"/>
  <c r="Q959" i="1"/>
  <c r="R959" i="1" s="1"/>
  <c r="Q1136" i="1"/>
  <c r="R1136" i="1" s="1"/>
  <c r="Q373" i="1"/>
  <c r="R373" i="1" s="1"/>
  <c r="Q372" i="1"/>
  <c r="R372" i="1" s="1"/>
  <c r="Q369" i="1"/>
  <c r="R369" i="1" s="1"/>
  <c r="Q366" i="1"/>
  <c r="R366" i="1" s="1"/>
  <c r="Q334" i="1"/>
  <c r="R334" i="1" s="1"/>
  <c r="Q196" i="1"/>
  <c r="R196" i="1" s="1"/>
  <c r="Q202" i="1"/>
  <c r="R202" i="1" s="1"/>
  <c r="Q250" i="1"/>
  <c r="R250" i="1" s="1"/>
  <c r="Q191" i="1"/>
  <c r="R191" i="1" s="1"/>
  <c r="Q243" i="1"/>
  <c r="R243" i="1" s="1"/>
  <c r="Q194" i="1"/>
  <c r="R194" i="1" s="1"/>
  <c r="Q217" i="1"/>
  <c r="R217" i="1" s="1"/>
  <c r="Q224" i="1"/>
  <c r="R224" i="1" s="1"/>
  <c r="Q211" i="1"/>
  <c r="R211" i="1" s="1"/>
  <c r="Q248" i="1"/>
  <c r="R248" i="1" s="1"/>
  <c r="Q251" i="1"/>
  <c r="R251" i="1" s="1"/>
  <c r="Q195" i="1"/>
  <c r="R195" i="1" s="1"/>
  <c r="Q247" i="1"/>
  <c r="R247" i="1" s="1"/>
  <c r="Q252" i="1"/>
  <c r="R252" i="1" s="1"/>
  <c r="Q186" i="1"/>
  <c r="R186" i="1" s="1"/>
  <c r="Q222" i="1"/>
  <c r="R222" i="1" s="1"/>
  <c r="Q225" i="1"/>
  <c r="R225" i="1" s="1"/>
  <c r="Q203" i="1"/>
  <c r="R203" i="1" s="1"/>
  <c r="Q210" i="1"/>
  <c r="R210" i="1" s="1"/>
  <c r="Q253" i="1"/>
  <c r="R253" i="1" s="1"/>
  <c r="Q231" i="1"/>
  <c r="R231" i="1" s="1"/>
  <c r="Q169" i="1"/>
  <c r="R169" i="1" s="1"/>
  <c r="Q165" i="1"/>
  <c r="R165" i="1" s="1"/>
  <c r="Q168" i="1"/>
  <c r="R168" i="1" s="1"/>
  <c r="Q151" i="1"/>
  <c r="R151" i="1" s="1"/>
  <c r="Q131" i="1"/>
  <c r="R131" i="1" s="1"/>
  <c r="Q144" i="1"/>
  <c r="R144" i="1" s="1"/>
  <c r="Q136" i="1"/>
  <c r="R136" i="1" s="1"/>
  <c r="Q100" i="1"/>
  <c r="R100" i="1" s="1"/>
  <c r="Q152" i="1"/>
  <c r="R152" i="1" s="1"/>
  <c r="Q130" i="1"/>
  <c r="R130" i="1" s="1"/>
  <c r="Q124" i="1"/>
  <c r="R124" i="1" s="1"/>
  <c r="Q48" i="1"/>
  <c r="R48" i="1" s="1"/>
  <c r="Q1247" i="1"/>
  <c r="R1247" i="1" s="1"/>
  <c r="Q1231" i="1"/>
  <c r="R1231" i="1" s="1"/>
  <c r="Q1244" i="1"/>
  <c r="R1244" i="1" s="1"/>
  <c r="Q1254" i="1"/>
  <c r="R1254" i="1" s="1"/>
  <c r="Q1228" i="1"/>
  <c r="R1228" i="1" s="1"/>
  <c r="Q1251" i="1"/>
  <c r="R1251" i="1" s="1"/>
  <c r="Q1225" i="1"/>
  <c r="R1225" i="1" s="1"/>
  <c r="Q1238" i="1"/>
  <c r="R1238" i="1" s="1"/>
  <c r="Q1248" i="1"/>
  <c r="R1248" i="1" s="1"/>
  <c r="Q1235" i="1"/>
  <c r="R1235" i="1" s="1"/>
  <c r="Q1242" i="1"/>
  <c r="R1242" i="1" s="1"/>
  <c r="Q1229" i="1"/>
  <c r="R1229" i="1" s="1"/>
  <c r="Q1239" i="1"/>
  <c r="R1239" i="1" s="1"/>
  <c r="Q1252" i="1"/>
  <c r="R1252" i="1" s="1"/>
  <c r="Q1226" i="1"/>
  <c r="R1226" i="1" s="1"/>
  <c r="Q1236" i="1"/>
  <c r="R1236" i="1" s="1"/>
  <c r="Q1249" i="1"/>
  <c r="R1249" i="1" s="1"/>
  <c r="Q1039" i="1"/>
  <c r="R1039" i="1" s="1"/>
  <c r="Q1049" i="1"/>
  <c r="R1049" i="1" s="1"/>
  <c r="Q1062" i="1"/>
  <c r="R1062" i="1" s="1"/>
  <c r="Q1036" i="1"/>
  <c r="R1036" i="1" s="1"/>
  <c r="Q1046" i="1"/>
  <c r="R1046" i="1" s="1"/>
  <c r="Q1059" i="1"/>
  <c r="R1059" i="1" s="1"/>
  <c r="Q1043" i="1"/>
  <c r="R1043" i="1" s="1"/>
  <c r="Q1056" i="1"/>
  <c r="R1056" i="1" s="1"/>
  <c r="Q1040" i="1"/>
  <c r="R1040" i="1" s="1"/>
  <c r="Q1065" i="1"/>
  <c r="R1065" i="1" s="1"/>
  <c r="Q1054" i="1"/>
  <c r="R1054" i="1" s="1"/>
  <c r="Q1058" i="1"/>
  <c r="R1058" i="1" s="1"/>
  <c r="Q1045" i="1"/>
  <c r="R1045" i="1" s="1"/>
  <c r="Q1055" i="1"/>
  <c r="R1055" i="1" s="1"/>
  <c r="Q1042" i="1"/>
  <c r="R1042" i="1" s="1"/>
  <c r="Q1052" i="1"/>
  <c r="R1052" i="1" s="1"/>
  <c r="Q1067" i="1"/>
  <c r="R1067" i="1" s="1"/>
  <c r="Q1121" i="1"/>
  <c r="R1121" i="1" s="1"/>
  <c r="Q1151" i="1"/>
  <c r="R1151" i="1" s="1"/>
  <c r="Q1175" i="1"/>
  <c r="R1175" i="1" s="1"/>
  <c r="Q1199" i="1"/>
  <c r="R1199" i="1" s="1"/>
  <c r="Q1098" i="1"/>
  <c r="R1098" i="1" s="1"/>
  <c r="Q1107" i="1"/>
  <c r="R1107" i="1" s="1"/>
  <c r="Q1078" i="1"/>
  <c r="R1078" i="1" s="1"/>
  <c r="Q1104" i="1"/>
  <c r="R1104" i="1" s="1"/>
  <c r="Q1092" i="1"/>
  <c r="R1092" i="1" s="1"/>
  <c r="Q1139" i="1"/>
  <c r="R1139" i="1" s="1"/>
  <c r="Q1163" i="1"/>
  <c r="R1163" i="1" s="1"/>
  <c r="Q1187" i="1"/>
  <c r="R1187" i="1" s="1"/>
  <c r="Q1211" i="1"/>
  <c r="R1211" i="1" s="1"/>
  <c r="Q1087" i="1"/>
  <c r="R1087" i="1" s="1"/>
  <c r="Q1105" i="1"/>
  <c r="R1105" i="1" s="1"/>
  <c r="Q1138" i="1"/>
  <c r="R1138" i="1" s="1"/>
  <c r="Q1144" i="1"/>
  <c r="R1144" i="1" s="1"/>
  <c r="Q1150" i="1"/>
  <c r="R1150" i="1" s="1"/>
  <c r="Q1156" i="1"/>
  <c r="R1156" i="1" s="1"/>
  <c r="Q1162" i="1"/>
  <c r="R1162" i="1" s="1"/>
  <c r="Q1168" i="1"/>
  <c r="R1168" i="1" s="1"/>
  <c r="Q1174" i="1"/>
  <c r="R1174" i="1" s="1"/>
  <c r="Q1180" i="1"/>
  <c r="R1180" i="1" s="1"/>
  <c r="Q1186" i="1"/>
  <c r="R1186" i="1" s="1"/>
  <c r="Q1192" i="1"/>
  <c r="R1192" i="1" s="1"/>
  <c r="Q1198" i="1"/>
  <c r="R1198" i="1" s="1"/>
  <c r="Q1204" i="1"/>
  <c r="R1204" i="1" s="1"/>
  <c r="Q1210" i="1"/>
  <c r="R1210" i="1" s="1"/>
  <c r="Q1215" i="1"/>
  <c r="R1215" i="1" s="1"/>
  <c r="Q1025" i="1"/>
  <c r="R1025" i="1" s="1"/>
  <c r="Q1031" i="1"/>
  <c r="R1031" i="1" s="1"/>
  <c r="Q974" i="1"/>
  <c r="R974" i="1" s="1"/>
  <c r="Q984" i="1"/>
  <c r="R984" i="1" s="1"/>
  <c r="Q997" i="1"/>
  <c r="R997" i="1" s="1"/>
  <c r="Q1010" i="1"/>
  <c r="R1010" i="1" s="1"/>
  <c r="Q971" i="1"/>
  <c r="R971" i="1" s="1"/>
  <c r="Q1007" i="1"/>
  <c r="R1007" i="1" s="1"/>
  <c r="Q978" i="1"/>
  <c r="R978" i="1" s="1"/>
  <c r="Q991" i="1"/>
  <c r="R991" i="1" s="1"/>
  <c r="Q1001" i="1"/>
  <c r="R1001" i="1" s="1"/>
  <c r="Q972" i="1"/>
  <c r="R972" i="1" s="1"/>
  <c r="Q985" i="1"/>
  <c r="R985" i="1" s="1"/>
  <c r="Q1008" i="1"/>
  <c r="R1008" i="1" s="1"/>
  <c r="Q982" i="1"/>
  <c r="R982" i="1" s="1"/>
  <c r="Q995" i="1"/>
  <c r="R995" i="1" s="1"/>
  <c r="Q1005" i="1"/>
  <c r="R1005" i="1" s="1"/>
  <c r="Q979" i="1"/>
  <c r="R979" i="1" s="1"/>
  <c r="Q992" i="1"/>
  <c r="R992" i="1" s="1"/>
  <c r="Q1002" i="1"/>
  <c r="R1002" i="1" s="1"/>
  <c r="Q973" i="1"/>
  <c r="R973" i="1" s="1"/>
  <c r="Q996" i="1"/>
  <c r="R996" i="1" s="1"/>
  <c r="Q1009" i="1"/>
  <c r="R1009" i="1" s="1"/>
  <c r="Q983" i="1"/>
  <c r="R983" i="1" s="1"/>
  <c r="Q826" i="1"/>
  <c r="R826" i="1" s="1"/>
  <c r="Q838" i="1"/>
  <c r="R838" i="1" s="1"/>
  <c r="Q863" i="1"/>
  <c r="R863" i="1" s="1"/>
  <c r="Q899" i="1"/>
  <c r="R899" i="1" s="1"/>
  <c r="Q948" i="1"/>
  <c r="R948" i="1" s="1"/>
  <c r="Q956" i="1"/>
  <c r="R956" i="1" s="1"/>
  <c r="Q841" i="1"/>
  <c r="R841" i="1" s="1"/>
  <c r="Q866" i="1"/>
  <c r="R866" i="1" s="1"/>
  <c r="Q891" i="1"/>
  <c r="R891" i="1" s="1"/>
  <c r="Q902" i="1"/>
  <c r="R902" i="1" s="1"/>
  <c r="Q965" i="1"/>
  <c r="R965" i="1" s="1"/>
  <c r="Q833" i="1"/>
  <c r="R833" i="1" s="1"/>
  <c r="Q869" i="1"/>
  <c r="R869" i="1" s="1"/>
  <c r="Q905" i="1"/>
  <c r="R905" i="1" s="1"/>
  <c r="Q968" i="1"/>
  <c r="R968" i="1" s="1"/>
  <c r="Q911" i="1"/>
  <c r="R911" i="1" s="1"/>
  <c r="Q828" i="1"/>
  <c r="R828" i="1" s="1"/>
  <c r="Q887" i="1"/>
  <c r="R887" i="1" s="1"/>
  <c r="Q926" i="1"/>
  <c r="R926" i="1" s="1"/>
  <c r="Q938" i="1"/>
  <c r="R938" i="1" s="1"/>
  <c r="Q961" i="1"/>
  <c r="R961" i="1" s="1"/>
  <c r="Q854" i="1"/>
  <c r="R854" i="1" s="1"/>
  <c r="Q879" i="1"/>
  <c r="R879" i="1" s="1"/>
  <c r="Q890" i="1"/>
  <c r="R890" i="1" s="1"/>
  <c r="Q915" i="1"/>
  <c r="R915" i="1" s="1"/>
  <c r="Q947" i="1"/>
  <c r="R947" i="1" s="1"/>
  <c r="Q931" i="1"/>
  <c r="R931" i="1" s="1"/>
  <c r="Q844" i="1"/>
  <c r="R844" i="1" s="1"/>
  <c r="Q856" i="1"/>
  <c r="R856" i="1" s="1"/>
  <c r="Q868" i="1"/>
  <c r="R868" i="1" s="1"/>
  <c r="Q880" i="1"/>
  <c r="R880" i="1" s="1"/>
  <c r="Q892" i="1"/>
  <c r="R892" i="1" s="1"/>
  <c r="Q904" i="1"/>
  <c r="R904" i="1" s="1"/>
  <c r="Q916" i="1"/>
  <c r="R916" i="1" s="1"/>
  <c r="Q853" i="1"/>
  <c r="R853" i="1" s="1"/>
  <c r="Q865" i="1"/>
  <c r="R865" i="1" s="1"/>
  <c r="Q877" i="1"/>
  <c r="R877" i="1" s="1"/>
  <c r="Q889" i="1"/>
  <c r="R889" i="1" s="1"/>
  <c r="Q901" i="1"/>
  <c r="R901" i="1" s="1"/>
  <c r="Q913" i="1"/>
  <c r="R913" i="1" s="1"/>
  <c r="Q925" i="1"/>
  <c r="R925" i="1" s="1"/>
  <c r="Q937" i="1"/>
  <c r="R937" i="1" s="1"/>
  <c r="Q946" i="1"/>
  <c r="R946" i="1" s="1"/>
  <c r="Q955" i="1"/>
  <c r="R955" i="1" s="1"/>
  <c r="Q964" i="1"/>
  <c r="R964" i="1" s="1"/>
  <c r="Q755" i="1"/>
  <c r="R755" i="1" s="1"/>
  <c r="Q762" i="1"/>
  <c r="R762" i="1" s="1"/>
  <c r="Q776" i="1"/>
  <c r="R776" i="1" s="1"/>
  <c r="Q797" i="1"/>
  <c r="R797" i="1" s="1"/>
  <c r="Q815" i="1"/>
  <c r="R815" i="1" s="1"/>
  <c r="Q763" i="1"/>
  <c r="R763" i="1" s="1"/>
  <c r="Q742" i="1"/>
  <c r="R742" i="1" s="1"/>
  <c r="Q749" i="1"/>
  <c r="R749" i="1" s="1"/>
  <c r="Q760" i="1"/>
  <c r="R760" i="1" s="1"/>
  <c r="Q770" i="1"/>
  <c r="R770" i="1" s="1"/>
  <c r="Q781" i="1"/>
  <c r="R781" i="1" s="1"/>
  <c r="Q791" i="1"/>
  <c r="R791" i="1" s="1"/>
  <c r="Q802" i="1"/>
  <c r="R802" i="1" s="1"/>
  <c r="Q809" i="1"/>
  <c r="R809" i="1" s="1"/>
  <c r="Q820" i="1"/>
  <c r="R820" i="1" s="1"/>
  <c r="Q753" i="1"/>
  <c r="R753" i="1" s="1"/>
  <c r="Q767" i="1"/>
  <c r="R767" i="1" s="1"/>
  <c r="Q774" i="1"/>
  <c r="R774" i="1" s="1"/>
  <c r="Q788" i="1"/>
  <c r="R788" i="1" s="1"/>
  <c r="Q795" i="1"/>
  <c r="R795" i="1" s="1"/>
  <c r="Q813" i="1"/>
  <c r="R813" i="1" s="1"/>
  <c r="Q746" i="1"/>
  <c r="R746" i="1" s="1"/>
  <c r="Q757" i="1"/>
  <c r="R757" i="1" s="1"/>
  <c r="Q778" i="1"/>
  <c r="R778" i="1" s="1"/>
  <c r="Q785" i="1"/>
  <c r="R785" i="1" s="1"/>
  <c r="Q799" i="1"/>
  <c r="R799" i="1" s="1"/>
  <c r="Q806" i="1"/>
  <c r="R806" i="1" s="1"/>
  <c r="Q817" i="1"/>
  <c r="R817" i="1" s="1"/>
  <c r="Q810" i="1"/>
  <c r="R810" i="1" s="1"/>
  <c r="Q754" i="1"/>
  <c r="R754" i="1" s="1"/>
  <c r="Q761" i="1"/>
  <c r="R761" i="1" s="1"/>
  <c r="Q775" i="1"/>
  <c r="R775" i="1" s="1"/>
  <c r="Q796" i="1"/>
  <c r="R796" i="1" s="1"/>
  <c r="Q814" i="1"/>
  <c r="R814" i="1" s="1"/>
  <c r="Q747" i="1"/>
  <c r="R747" i="1" s="1"/>
  <c r="Q786" i="1"/>
  <c r="R786" i="1" s="1"/>
  <c r="Q807" i="1"/>
  <c r="R807" i="1" s="1"/>
  <c r="Q740" i="1"/>
  <c r="R740" i="1" s="1"/>
  <c r="Q751" i="1"/>
  <c r="R751" i="1" s="1"/>
  <c r="Q758" i="1"/>
  <c r="R758" i="1" s="1"/>
  <c r="Q765" i="1"/>
  <c r="R765" i="1" s="1"/>
  <c r="Q772" i="1"/>
  <c r="R772" i="1" s="1"/>
  <c r="Q779" i="1"/>
  <c r="R779" i="1" s="1"/>
  <c r="Q793" i="1"/>
  <c r="R793" i="1" s="1"/>
  <c r="Q800" i="1"/>
  <c r="R800" i="1" s="1"/>
  <c r="Q811" i="1"/>
  <c r="R811" i="1" s="1"/>
  <c r="Q818" i="1"/>
  <c r="R818" i="1" s="1"/>
  <c r="Q608" i="1"/>
  <c r="R608" i="1" s="1"/>
  <c r="Q631" i="1"/>
  <c r="R631" i="1" s="1"/>
  <c r="Q644" i="1"/>
  <c r="R644" i="1" s="1"/>
  <c r="Q605" i="1"/>
  <c r="R605" i="1" s="1"/>
  <c r="Q618" i="1"/>
  <c r="R618" i="1" s="1"/>
  <c r="Q602" i="1"/>
  <c r="R602" i="1" s="1"/>
  <c r="Q615" i="1"/>
  <c r="R615" i="1" s="1"/>
  <c r="Q625" i="1"/>
  <c r="R625" i="1" s="1"/>
  <c r="Q638" i="1"/>
  <c r="R638" i="1" s="1"/>
  <c r="Q651" i="1"/>
  <c r="R651" i="1" s="1"/>
  <c r="Q648" i="1"/>
  <c r="R648" i="1" s="1"/>
  <c r="Q619" i="1"/>
  <c r="R619" i="1" s="1"/>
  <c r="Q632" i="1"/>
  <c r="R632" i="1" s="1"/>
  <c r="Q655" i="1"/>
  <c r="R655" i="1" s="1"/>
  <c r="Q642" i="1"/>
  <c r="R642" i="1" s="1"/>
  <c r="Q603" i="1"/>
  <c r="R603" i="1" s="1"/>
  <c r="Q613" i="1"/>
  <c r="R613" i="1" s="1"/>
  <c r="Q626" i="1"/>
  <c r="R626" i="1" s="1"/>
  <c r="Q639" i="1"/>
  <c r="R639" i="1" s="1"/>
  <c r="Q649" i="1"/>
  <c r="R649" i="1" s="1"/>
  <c r="Q610" i="1"/>
  <c r="R610" i="1" s="1"/>
  <c r="Q623" i="1"/>
  <c r="R623" i="1" s="1"/>
  <c r="Q646" i="1"/>
  <c r="R646" i="1" s="1"/>
  <c r="Q607" i="1"/>
  <c r="R607" i="1" s="1"/>
  <c r="Q620" i="1"/>
  <c r="R620" i="1" s="1"/>
  <c r="Q633" i="1"/>
  <c r="R633" i="1" s="1"/>
  <c r="Q643" i="1"/>
  <c r="R643" i="1" s="1"/>
  <c r="Q656" i="1"/>
  <c r="R656" i="1" s="1"/>
  <c r="Q630" i="1"/>
  <c r="R630" i="1" s="1"/>
  <c r="Q581" i="1"/>
  <c r="R581" i="1" s="1"/>
  <c r="Q584" i="1"/>
  <c r="R584" i="1" s="1"/>
  <c r="Q587" i="1"/>
  <c r="R587" i="1" s="1"/>
  <c r="Q576" i="1"/>
  <c r="R576" i="1" s="1"/>
  <c r="Q579" i="1"/>
  <c r="R579" i="1" s="1"/>
  <c r="Q588" i="1"/>
  <c r="R588" i="1" s="1"/>
  <c r="Q569" i="1"/>
  <c r="R569" i="1" s="1"/>
  <c r="Q555" i="1"/>
  <c r="R555" i="1" s="1"/>
  <c r="Q573" i="1"/>
  <c r="R573" i="1" s="1"/>
  <c r="Q560" i="1"/>
  <c r="R560" i="1" s="1"/>
  <c r="Q568" i="1"/>
  <c r="R568" i="1" s="1"/>
  <c r="Q561" i="1"/>
  <c r="R561" i="1" s="1"/>
  <c r="Q554" i="1"/>
  <c r="R554" i="1" s="1"/>
  <c r="Q565" i="1"/>
  <c r="R565" i="1" s="1"/>
  <c r="Q572" i="1"/>
  <c r="R572" i="1" s="1"/>
  <c r="Q509" i="1"/>
  <c r="R509" i="1" s="1"/>
  <c r="Q397" i="1"/>
  <c r="R397" i="1" s="1"/>
  <c r="Q452" i="1"/>
  <c r="R452" i="1" s="1"/>
  <c r="Q474" i="1"/>
  <c r="R474" i="1" s="1"/>
  <c r="Q512" i="1"/>
  <c r="R512" i="1" s="1"/>
  <c r="Q400" i="1"/>
  <c r="R400" i="1" s="1"/>
  <c r="Q415" i="1"/>
  <c r="R415" i="1" s="1"/>
  <c r="Q500" i="1"/>
  <c r="R500" i="1" s="1"/>
  <c r="Q506" i="1"/>
  <c r="R506" i="1" s="1"/>
  <c r="Q522" i="1"/>
  <c r="R522" i="1" s="1"/>
  <c r="Q401" i="1"/>
  <c r="R401" i="1" s="1"/>
  <c r="Q416" i="1"/>
  <c r="R416" i="1" s="1"/>
  <c r="Q419" i="1"/>
  <c r="R419" i="1" s="1"/>
  <c r="Q422" i="1"/>
  <c r="R422" i="1" s="1"/>
  <c r="Q428" i="1"/>
  <c r="R428" i="1" s="1"/>
  <c r="Q393" i="1"/>
  <c r="R393" i="1" s="1"/>
  <c r="Q404" i="1"/>
  <c r="R404" i="1" s="1"/>
  <c r="Q413" i="1"/>
  <c r="R413" i="1" s="1"/>
  <c r="Q482" i="1"/>
  <c r="R482" i="1" s="1"/>
  <c r="Q504" i="1"/>
  <c r="R504" i="1" s="1"/>
  <c r="Q517" i="1"/>
  <c r="R517" i="1" s="1"/>
  <c r="Q414" i="1"/>
  <c r="R414" i="1" s="1"/>
  <c r="Q405" i="1"/>
  <c r="R405" i="1" s="1"/>
  <c r="Q408" i="1"/>
  <c r="R408" i="1" s="1"/>
  <c r="Q411" i="1"/>
  <c r="R411" i="1" s="1"/>
  <c r="Q473" i="1"/>
  <c r="R473" i="1" s="1"/>
  <c r="Q499" i="1"/>
  <c r="R499" i="1" s="1"/>
  <c r="Q518" i="1"/>
  <c r="R518" i="1" s="1"/>
  <c r="Q402" i="1"/>
  <c r="R402" i="1" s="1"/>
  <c r="Q420" i="1"/>
  <c r="R420" i="1" s="1"/>
  <c r="Q430" i="1"/>
  <c r="R430" i="1" s="1"/>
  <c r="Q521" i="1"/>
  <c r="R521" i="1" s="1"/>
  <c r="Q418" i="1"/>
  <c r="R418" i="1" s="1"/>
  <c r="Q496" i="1"/>
  <c r="R496" i="1" s="1"/>
  <c r="Q505" i="1"/>
  <c r="R505" i="1" s="1"/>
  <c r="Q514" i="1"/>
  <c r="R514" i="1" s="1"/>
  <c r="Q523" i="1"/>
  <c r="R523" i="1" s="1"/>
  <c r="Q532" i="1"/>
  <c r="R532" i="1" s="1"/>
  <c r="Q421" i="1"/>
  <c r="R421" i="1" s="1"/>
  <c r="Q445" i="1"/>
  <c r="R445" i="1" s="1"/>
  <c r="Q534" i="1"/>
  <c r="R534" i="1" s="1"/>
  <c r="Q540" i="1"/>
  <c r="R540" i="1" s="1"/>
  <c r="Q546" i="1"/>
  <c r="R546" i="1" s="1"/>
  <c r="Q424" i="1"/>
  <c r="R424" i="1" s="1"/>
  <c r="Q535" i="1"/>
  <c r="R535" i="1" s="1"/>
  <c r="Q379" i="1"/>
  <c r="R379" i="1" s="1"/>
  <c r="Q389" i="1"/>
  <c r="R389" i="1" s="1"/>
  <c r="Q370" i="1"/>
  <c r="R370" i="1" s="1"/>
  <c r="Q364" i="1"/>
  <c r="R364" i="1" s="1"/>
  <c r="Q374" i="1"/>
  <c r="R374" i="1" s="1"/>
  <c r="Q361" i="1"/>
  <c r="R361" i="1" s="1"/>
  <c r="Q371" i="1"/>
  <c r="R371" i="1" s="1"/>
  <c r="Q347" i="1"/>
  <c r="R347" i="1" s="1"/>
  <c r="Q365" i="1"/>
  <c r="R365" i="1" s="1"/>
  <c r="Q391" i="1"/>
  <c r="R391" i="1" s="1"/>
  <c r="Q350" i="1"/>
  <c r="R350" i="1" s="1"/>
  <c r="Q362" i="1"/>
  <c r="R362" i="1" s="1"/>
  <c r="Q388" i="1"/>
  <c r="R388" i="1" s="1"/>
  <c r="Q353" i="1"/>
  <c r="R353" i="1" s="1"/>
  <c r="Q359" i="1"/>
  <c r="R359" i="1" s="1"/>
  <c r="Q385" i="1"/>
  <c r="R385" i="1" s="1"/>
  <c r="Q267" i="1"/>
  <c r="R267" i="1" s="1"/>
  <c r="Q292" i="1"/>
  <c r="R292" i="1" s="1"/>
  <c r="Q298" i="1"/>
  <c r="R298" i="1" s="1"/>
  <c r="Q304" i="1"/>
  <c r="R304" i="1" s="1"/>
  <c r="Q322" i="1"/>
  <c r="R322" i="1" s="1"/>
  <c r="Q340" i="1"/>
  <c r="R340" i="1" s="1"/>
  <c r="Q289" i="1"/>
  <c r="R289" i="1" s="1"/>
  <c r="Q301" i="1"/>
  <c r="R301" i="1" s="1"/>
  <c r="Q314" i="1"/>
  <c r="R314" i="1" s="1"/>
  <c r="Q325" i="1"/>
  <c r="R325" i="1" s="1"/>
  <c r="Q337" i="1"/>
  <c r="R337" i="1" s="1"/>
  <c r="Q311" i="1"/>
  <c r="R311" i="1" s="1"/>
  <c r="Q317" i="1"/>
  <c r="R317" i="1" s="1"/>
  <c r="Q268" i="1"/>
  <c r="R268" i="1" s="1"/>
  <c r="Q281" i="1"/>
  <c r="R281" i="1" s="1"/>
  <c r="Q293" i="1"/>
  <c r="R293" i="1" s="1"/>
  <c r="Q299" i="1"/>
  <c r="R299" i="1" s="1"/>
  <c r="Q305" i="1"/>
  <c r="R305" i="1" s="1"/>
  <c r="Q323" i="1"/>
  <c r="R323" i="1" s="1"/>
  <c r="Q341" i="1"/>
  <c r="R341" i="1" s="1"/>
  <c r="Q312" i="1"/>
  <c r="R312" i="1" s="1"/>
  <c r="Q329" i="1"/>
  <c r="R329" i="1" s="1"/>
  <c r="Q335" i="1"/>
  <c r="R335" i="1" s="1"/>
  <c r="Q273" i="1"/>
  <c r="R273" i="1" s="1"/>
  <c r="Q291" i="1"/>
  <c r="R291" i="1" s="1"/>
  <c r="Q303" i="1"/>
  <c r="R303" i="1" s="1"/>
  <c r="Q313" i="1"/>
  <c r="R313" i="1" s="1"/>
  <c r="Q339" i="1"/>
  <c r="R339" i="1" s="1"/>
  <c r="Q288" i="1"/>
  <c r="R288" i="1" s="1"/>
  <c r="Q310" i="1"/>
  <c r="R310" i="1" s="1"/>
  <c r="Q316" i="1"/>
  <c r="R316" i="1" s="1"/>
  <c r="Q336" i="1"/>
  <c r="R336" i="1" s="1"/>
  <c r="Q166" i="1"/>
  <c r="R166" i="1" s="1"/>
  <c r="Q184" i="1"/>
  <c r="R184" i="1" s="1"/>
  <c r="Q220" i="1"/>
  <c r="R220" i="1" s="1"/>
  <c r="Q223" i="1"/>
  <c r="R223" i="1" s="1"/>
  <c r="Q200" i="1"/>
  <c r="R200" i="1" s="1"/>
  <c r="Q229" i="1"/>
  <c r="R229" i="1" s="1"/>
  <c r="Q175" i="1"/>
  <c r="R175" i="1" s="1"/>
  <c r="Q193" i="1"/>
  <c r="R193" i="1" s="1"/>
  <c r="Q244" i="1"/>
  <c r="R244" i="1" s="1"/>
  <c r="Q111" i="1"/>
  <c r="R111" i="1" s="1"/>
  <c r="Q129" i="1"/>
  <c r="R129" i="1" s="1"/>
  <c r="Q147" i="1"/>
  <c r="R147" i="1" s="1"/>
  <c r="R101" i="1"/>
  <c r="Q119" i="1"/>
  <c r="R119" i="1" s="1"/>
  <c r="Q137" i="1"/>
  <c r="R137" i="1" s="1"/>
  <c r="R96" i="1"/>
  <c r="Q114" i="1"/>
  <c r="R114" i="1" s="1"/>
  <c r="Q150" i="1"/>
  <c r="R150" i="1" s="1"/>
  <c r="Q99" i="1"/>
  <c r="R99" i="1" s="1"/>
  <c r="Q117" i="1"/>
  <c r="R117" i="1" s="1"/>
  <c r="Q135" i="1"/>
  <c r="R135" i="1" s="1"/>
  <c r="Q153" i="1"/>
  <c r="R153" i="1" s="1"/>
  <c r="Q107" i="1"/>
  <c r="R107" i="1" s="1"/>
  <c r="Q125" i="1"/>
  <c r="R125" i="1" s="1"/>
  <c r="Q143" i="1"/>
  <c r="R143" i="1" s="1"/>
  <c r="Q102" i="1"/>
  <c r="R102" i="1" s="1"/>
  <c r="Q120" i="1"/>
  <c r="R120" i="1" s="1"/>
  <c r="Q138" i="1"/>
  <c r="R138" i="1" s="1"/>
  <c r="Q87" i="1"/>
  <c r="R87" i="1" s="1"/>
  <c r="Q80" i="1"/>
  <c r="R80" i="1" s="1"/>
  <c r="Q84" i="1"/>
  <c r="R84" i="1" s="1"/>
  <c r="Q82" i="1"/>
  <c r="R82" i="1" s="1"/>
  <c r="Q86" i="1"/>
  <c r="R86" i="1" s="1"/>
  <c r="Q49" i="1"/>
  <c r="R49" i="1" s="1"/>
  <c r="Q45" i="1"/>
  <c r="R45" i="1" s="1"/>
  <c r="Q55" i="1"/>
  <c r="R55" i="1" s="1"/>
  <c r="Q65" i="1"/>
  <c r="R65" i="1" s="1"/>
  <c r="Q53" i="1"/>
  <c r="R53" i="1" s="1"/>
  <c r="Q51" i="1"/>
  <c r="R51" i="1" s="1"/>
  <c r="Q68" i="1"/>
  <c r="R68" i="1" s="1"/>
  <c r="Q47" i="1"/>
  <c r="R47" i="1" s="1"/>
  <c r="Q40" i="1"/>
  <c r="R40" i="1" s="1"/>
  <c r="Q34" i="1"/>
  <c r="R34" i="1" s="1"/>
  <c r="Q25" i="1"/>
  <c r="R25" i="1" s="1"/>
  <c r="Q28" i="1"/>
  <c r="R28" i="1" s="1"/>
  <c r="Q41" i="1"/>
  <c r="R41" i="1" s="1"/>
  <c r="Q38" i="1"/>
  <c r="R38" i="1" s="1"/>
  <c r="Q35" i="1"/>
  <c r="R35" i="1" s="1"/>
  <c r="Q23" i="1"/>
  <c r="R23" i="1" s="1"/>
  <c r="D35" i="3"/>
  <c r="F1100" i="1"/>
  <c r="F1095" i="1"/>
  <c r="D19" i="3"/>
  <c r="K24" i="1"/>
  <c r="E19" i="3" s="1"/>
  <c r="Q1207" i="1" l="1"/>
  <c r="R1207" i="1" s="1"/>
  <c r="Q1070" i="1"/>
  <c r="R1070" i="1" s="1"/>
  <c r="Q1074" i="1"/>
  <c r="R1074" i="1" s="1"/>
  <c r="Q1116" i="1"/>
  <c r="R1116" i="1" s="1"/>
  <c r="Q1069" i="1"/>
  <c r="R1069" i="1" s="1"/>
  <c r="Q1206" i="1"/>
  <c r="R1206" i="1" s="1"/>
  <c r="Q1115" i="1"/>
  <c r="R1115" i="1" s="1"/>
  <c r="Q1117" i="1"/>
  <c r="R1117" i="1" s="1"/>
  <c r="Q1219" i="1"/>
  <c r="R1219" i="1" s="1"/>
  <c r="Q1099" i="1"/>
  <c r="R1099" i="1" s="1"/>
  <c r="Q1084" i="1"/>
  <c r="R1084" i="1" s="1"/>
  <c r="Q1071" i="1"/>
  <c r="R1071" i="1" s="1"/>
  <c r="Q1073" i="1"/>
  <c r="R1073" i="1" s="1"/>
  <c r="Q1083" i="1"/>
  <c r="R1083" i="1" s="1"/>
  <c r="K1100" i="1"/>
  <c r="I1100" i="1"/>
  <c r="Q1208" i="1"/>
  <c r="R1208" i="1" s="1"/>
  <c r="Q1218" i="1"/>
  <c r="R1218" i="1" s="1"/>
  <c r="Q1075" i="1"/>
  <c r="R1075" i="1" s="1"/>
  <c r="K1095" i="1"/>
  <c r="I1095" i="1"/>
  <c r="Q1085" i="1"/>
  <c r="R1085" i="1" s="1"/>
  <c r="K1101" i="1"/>
  <c r="I1101" i="1"/>
  <c r="Q1101" i="1" s="1"/>
  <c r="R1101" i="1" s="1"/>
  <c r="Q1093" i="1"/>
  <c r="R1093" i="1" s="1"/>
  <c r="K1257" i="1"/>
  <c r="I1257" i="1"/>
  <c r="Q1257" i="1" s="1"/>
  <c r="R1257" i="1" s="1"/>
  <c r="Q1217" i="1"/>
  <c r="R1217" i="1" s="1"/>
  <c r="Q1079" i="1"/>
  <c r="R1079" i="1" s="1"/>
  <c r="Q29" i="1"/>
  <c r="R29" i="1" s="1"/>
  <c r="F1096" i="1"/>
  <c r="Q1053" i="1"/>
  <c r="R1053" i="1" s="1"/>
  <c r="P1095" i="1"/>
  <c r="Q1095" i="1" s="1"/>
  <c r="P1100" i="1"/>
  <c r="P24" i="1"/>
  <c r="G19" i="3" s="1"/>
  <c r="I24" i="1"/>
  <c r="F19" i="3" s="1"/>
  <c r="Q1100" i="1" l="1"/>
  <c r="R1100" i="1" s="1"/>
  <c r="K1096" i="1"/>
  <c r="I1096" i="1"/>
  <c r="Q24" i="1"/>
  <c r="R24" i="1" s="1"/>
  <c r="H19" i="3" s="1"/>
  <c r="R1095" i="1"/>
  <c r="P1096" i="1"/>
  <c r="P1033" i="1" s="1"/>
  <c r="G35" i="3" s="1"/>
  <c r="K1033" i="1"/>
  <c r="E35" i="3" s="1"/>
  <c r="Q1096" i="1" l="1"/>
  <c r="I1033" i="1"/>
  <c r="F35" i="3" s="1"/>
  <c r="B46" i="1"/>
  <c r="B47" i="1"/>
  <c r="B50" i="1"/>
  <c r="B51" i="1"/>
  <c r="B52" i="1"/>
  <c r="B53" i="1"/>
  <c r="B55" i="1"/>
  <c r="B56" i="1"/>
  <c r="B64" i="1"/>
  <c r="B65" i="1"/>
  <c r="B68" i="1"/>
  <c r="B69" i="1"/>
  <c r="B71" i="1"/>
  <c r="B72" i="1"/>
  <c r="B74" i="1"/>
  <c r="B75" i="1"/>
  <c r="B76" i="1"/>
  <c r="B77" i="1"/>
  <c r="B79" i="1"/>
  <c r="B80" i="1"/>
  <c r="B82" i="1"/>
  <c r="B83" i="1"/>
  <c r="B86" i="1"/>
  <c r="B87" i="1"/>
  <c r="B89" i="1"/>
  <c r="B90" i="1"/>
  <c r="B91" i="1"/>
  <c r="B92" i="1"/>
  <c r="B99" i="1"/>
  <c r="B100" i="1"/>
  <c r="B119" i="1"/>
  <c r="B120" i="1"/>
  <c r="B124" i="1"/>
  <c r="B125" i="1"/>
  <c r="B130" i="1"/>
  <c r="B131" i="1"/>
  <c r="B135" i="1"/>
  <c r="B136" i="1"/>
  <c r="B140" i="1"/>
  <c r="B141" i="1"/>
  <c r="B143" i="1"/>
  <c r="B144" i="1"/>
  <c r="B151" i="1"/>
  <c r="B152" i="1"/>
  <c r="B154" i="1"/>
  <c r="B155" i="1"/>
  <c r="B156" i="1"/>
  <c r="B157" i="1"/>
  <c r="B165" i="1"/>
  <c r="B166" i="1"/>
  <c r="B168" i="1"/>
  <c r="B169" i="1"/>
  <c r="B179" i="1"/>
  <c r="B180" i="1"/>
  <c r="B181" i="1"/>
  <c r="B182" i="1"/>
  <c r="B183" i="1"/>
  <c r="B184" i="1"/>
  <c r="B186" i="1"/>
  <c r="B187" i="1"/>
  <c r="B196" i="1"/>
  <c r="B197" i="1"/>
  <c r="B204" i="1"/>
  <c r="B205" i="1"/>
  <c r="B210" i="1"/>
  <c r="B211" i="1"/>
  <c r="B217" i="1"/>
  <c r="B218" i="1"/>
  <c r="B220" i="1"/>
  <c r="B221" i="1"/>
  <c r="B225" i="1"/>
  <c r="B226" i="1"/>
  <c r="B232" i="1"/>
  <c r="B233" i="1"/>
  <c r="B243" i="1"/>
  <c r="B244" i="1"/>
  <c r="B247" i="1"/>
  <c r="B248" i="1"/>
  <c r="B252" i="1"/>
  <c r="B253" i="1"/>
  <c r="B257" i="1"/>
  <c r="B258" i="1"/>
  <c r="B259" i="1"/>
  <c r="B260" i="1"/>
  <c r="B261" i="1"/>
  <c r="B262" i="1"/>
  <c r="B263" i="1"/>
  <c r="B264" i="1"/>
  <c r="B265" i="1"/>
  <c r="B266" i="1"/>
  <c r="B267" i="1"/>
  <c r="B268" i="1"/>
  <c r="B272" i="1"/>
  <c r="B273" i="1"/>
  <c r="B285" i="1"/>
  <c r="B286" i="1"/>
  <c r="B288" i="1"/>
  <c r="B289" i="1"/>
  <c r="B291" i="1"/>
  <c r="B292" i="1"/>
  <c r="B294" i="1"/>
  <c r="B295" i="1"/>
  <c r="B298" i="1"/>
  <c r="B299" i="1"/>
  <c r="B301" i="1"/>
  <c r="B302" i="1"/>
  <c r="B306" i="1"/>
  <c r="B307" i="1"/>
  <c r="B310" i="1"/>
  <c r="B311" i="1"/>
  <c r="B317" i="1"/>
  <c r="B318" i="1"/>
  <c r="B319" i="1"/>
  <c r="B320" i="1"/>
  <c r="B324" i="1"/>
  <c r="B325" i="1"/>
  <c r="B329" i="1"/>
  <c r="B330" i="1"/>
  <c r="B332" i="1"/>
  <c r="B333" i="1"/>
  <c r="B335" i="1"/>
  <c r="B336" i="1"/>
  <c r="B340" i="1"/>
  <c r="B341" i="1"/>
  <c r="B343" i="1"/>
  <c r="B344" i="1"/>
  <c r="B345" i="1"/>
  <c r="B346" i="1"/>
  <c r="B347" i="1"/>
  <c r="B348" i="1"/>
  <c r="B349" i="1"/>
  <c r="B350" i="1"/>
  <c r="B356" i="1"/>
  <c r="B357" i="1"/>
  <c r="B360" i="1"/>
  <c r="B361" i="1"/>
  <c r="B363" i="1"/>
  <c r="B364" i="1"/>
  <c r="B374" i="1"/>
  <c r="B375" i="1"/>
  <c r="B377" i="1"/>
  <c r="B378" i="1"/>
  <c r="B385" i="1"/>
  <c r="B386" i="1"/>
  <c r="B387" i="1"/>
  <c r="B391" i="1"/>
  <c r="B392" i="1"/>
  <c r="B393" i="1"/>
  <c r="B394" i="1"/>
  <c r="B403" i="1"/>
  <c r="B404" i="1"/>
  <c r="B407" i="1"/>
  <c r="B408" i="1"/>
  <c r="B411" i="1"/>
  <c r="B412" i="1"/>
  <c r="B419" i="1"/>
  <c r="B420" i="1"/>
  <c r="B428" i="1"/>
  <c r="B429" i="1"/>
  <c r="B430" i="1"/>
  <c r="B431" i="1"/>
  <c r="B438" i="1"/>
  <c r="B445" i="1"/>
  <c r="B452" i="1"/>
  <c r="B459" i="1"/>
  <c r="B466" i="1"/>
  <c r="B473" i="1"/>
  <c r="B474" i="1"/>
  <c r="B482" i="1"/>
  <c r="B490" i="1"/>
  <c r="B491" i="1"/>
  <c r="B495" i="1"/>
  <c r="B496" i="1"/>
  <c r="B497" i="1"/>
  <c r="B498" i="1"/>
  <c r="B504" i="1"/>
  <c r="B505" i="1"/>
  <c r="B509" i="1"/>
  <c r="B510" i="1"/>
  <c r="B512" i="1"/>
  <c r="B513" i="1"/>
  <c r="B515" i="1"/>
  <c r="B516" i="1"/>
  <c r="B520" i="1"/>
  <c r="B521" i="1"/>
  <c r="B522" i="1"/>
  <c r="B523" i="1"/>
  <c r="B528" i="1"/>
  <c r="B529" i="1"/>
  <c r="B531" i="1"/>
  <c r="B532" i="1"/>
  <c r="B534" i="1"/>
  <c r="B535" i="1"/>
  <c r="B540" i="1"/>
  <c r="B541" i="1"/>
  <c r="B546" i="1"/>
  <c r="B547" i="1"/>
  <c r="B548" i="1"/>
  <c r="B549" i="1"/>
  <c r="B557" i="1"/>
  <c r="B558" i="1"/>
  <c r="B562" i="1"/>
  <c r="B563" i="1"/>
  <c r="B564" i="1"/>
  <c r="B568" i="1"/>
  <c r="B569" i="1"/>
  <c r="B571" i="1"/>
  <c r="B572" i="1"/>
  <c r="B574" i="1"/>
  <c r="B575" i="1"/>
  <c r="B576" i="1"/>
  <c r="B577" i="1"/>
  <c r="B583" i="1"/>
  <c r="B585" i="1"/>
  <c r="B586" i="1"/>
  <c r="B588" i="1"/>
  <c r="B589" i="1"/>
  <c r="B590" i="1"/>
  <c r="B591" i="1"/>
  <c r="B593" i="1"/>
  <c r="B594" i="1"/>
  <c r="B595" i="1"/>
  <c r="B597" i="1"/>
  <c r="B598" i="1"/>
  <c r="B599" i="1"/>
  <c r="B600" i="1"/>
  <c r="B619" i="1"/>
  <c r="B659" i="1"/>
  <c r="B660" i="1"/>
  <c r="B661" i="1"/>
  <c r="B662" i="1"/>
  <c r="B664" i="1"/>
  <c r="B665" i="1"/>
  <c r="B666" i="1"/>
  <c r="B667" i="1"/>
  <c r="B676" i="1"/>
  <c r="B677" i="1"/>
  <c r="B678" i="1"/>
  <c r="B684" i="1"/>
  <c r="B685" i="1"/>
  <c r="B686" i="1"/>
  <c r="B688" i="1"/>
  <c r="B689" i="1"/>
  <c r="B690" i="1"/>
  <c r="B694" i="1"/>
  <c r="B695" i="1"/>
  <c r="B704" i="1"/>
  <c r="B705" i="1"/>
  <c r="B708" i="1"/>
  <c r="B709" i="1"/>
  <c r="B711" i="1"/>
  <c r="B712" i="1"/>
  <c r="B717" i="1"/>
  <c r="B718" i="1"/>
  <c r="B720" i="1"/>
  <c r="B721" i="1"/>
  <c r="B723" i="1"/>
  <c r="B724" i="1"/>
  <c r="B726" i="1"/>
  <c r="B727" i="1"/>
  <c r="B730" i="1"/>
  <c r="B731" i="1"/>
  <c r="B735" i="1"/>
  <c r="B736" i="1"/>
  <c r="B738" i="1"/>
  <c r="B739" i="1"/>
  <c r="B740" i="1"/>
  <c r="B741" i="1"/>
  <c r="B743" i="1"/>
  <c r="B744" i="1"/>
  <c r="B746" i="1"/>
  <c r="B747" i="1"/>
  <c r="B749" i="1"/>
  <c r="B750" i="1"/>
  <c r="B755" i="1"/>
  <c r="B756" i="1"/>
  <c r="B758" i="1"/>
  <c r="B759" i="1"/>
  <c r="B769" i="1"/>
  <c r="B776" i="1"/>
  <c r="B783" i="1"/>
  <c r="B784" i="1"/>
  <c r="B785" i="1"/>
  <c r="B789" i="1"/>
  <c r="B790" i="1"/>
  <c r="B793" i="1"/>
  <c r="B794" i="1"/>
  <c r="B796" i="1"/>
  <c r="B797" i="1"/>
  <c r="B799" i="1"/>
  <c r="B800" i="1"/>
  <c r="B808" i="1"/>
  <c r="B809" i="1"/>
  <c r="B811" i="1"/>
  <c r="B812" i="1"/>
  <c r="B816" i="1"/>
  <c r="B817" i="1"/>
  <c r="B821" i="1"/>
  <c r="B822" i="1"/>
  <c r="B823" i="1"/>
  <c r="B824" i="1"/>
  <c r="B825" i="1"/>
  <c r="B826" i="1"/>
  <c r="B829" i="1"/>
  <c r="B830" i="1"/>
  <c r="B834" i="1"/>
  <c r="B835" i="1"/>
  <c r="B837" i="1"/>
  <c r="B838" i="1"/>
  <c r="B840" i="1"/>
  <c r="B841" i="1"/>
  <c r="B845" i="1"/>
  <c r="B846" i="1"/>
  <c r="B851" i="1"/>
  <c r="B852" i="1"/>
  <c r="B854" i="1"/>
  <c r="B855" i="1"/>
  <c r="B857" i="1"/>
  <c r="B858" i="1"/>
  <c r="B882" i="1"/>
  <c r="B883" i="1"/>
  <c r="B903" i="1"/>
  <c r="B904" i="1"/>
  <c r="B923" i="1"/>
  <c r="B924" i="1"/>
  <c r="B928" i="1"/>
  <c r="B929" i="1"/>
  <c r="B935" i="1"/>
  <c r="B936" i="1"/>
  <c r="B939" i="1"/>
  <c r="B940" i="1"/>
  <c r="B948" i="1"/>
  <c r="B949" i="1"/>
  <c r="B953" i="1"/>
  <c r="B954" i="1"/>
  <c r="B956" i="1"/>
  <c r="B957" i="1"/>
  <c r="B969" i="1"/>
  <c r="B970" i="1"/>
  <c r="B971" i="1"/>
  <c r="B972" i="1"/>
  <c r="B973" i="1"/>
  <c r="B974" i="1"/>
  <c r="B976" i="1"/>
  <c r="B977" i="1"/>
  <c r="B982" i="1"/>
  <c r="B983" i="1"/>
  <c r="B990" i="1"/>
  <c r="B991" i="1"/>
  <c r="B997" i="1"/>
  <c r="B998" i="1"/>
  <c r="B1002" i="1"/>
  <c r="B1003" i="1"/>
  <c r="B1004" i="1"/>
  <c r="B1005" i="1"/>
  <c r="B1007" i="1"/>
  <c r="B1008" i="1"/>
  <c r="B1011" i="1"/>
  <c r="B1012" i="1"/>
  <c r="B1014" i="1"/>
  <c r="B1015" i="1"/>
  <c r="B1017" i="1"/>
  <c r="B1018" i="1"/>
  <c r="B1021" i="1"/>
  <c r="B1022" i="1"/>
  <c r="B1023" i="1"/>
  <c r="B1024" i="1"/>
  <c r="B1026" i="1"/>
  <c r="B1027" i="1"/>
  <c r="B1029" i="1"/>
  <c r="B1030" i="1"/>
  <c r="C33" i="3"/>
  <c r="F70" i="1"/>
  <c r="F848" i="1"/>
  <c r="B1032" i="1"/>
  <c r="B1221" i="1"/>
  <c r="B1222" i="1"/>
  <c r="F163" i="1"/>
  <c r="F530" i="1"/>
  <c r="F488" i="1"/>
  <c r="F485" i="1"/>
  <c r="F484" i="1"/>
  <c r="F480" i="1"/>
  <c r="F477" i="1"/>
  <c r="F476" i="1"/>
  <c r="F472" i="1"/>
  <c r="F469" i="1"/>
  <c r="F468" i="1"/>
  <c r="F465" i="1"/>
  <c r="F462" i="1"/>
  <c r="F461" i="1"/>
  <c r="F458" i="1"/>
  <c r="F455" i="1"/>
  <c r="F454" i="1"/>
  <c r="F444" i="1"/>
  <c r="F441" i="1"/>
  <c r="F440" i="1"/>
  <c r="K848" i="1" l="1"/>
  <c r="I848" i="1"/>
  <c r="F487" i="1"/>
  <c r="K484" i="1"/>
  <c r="P484" i="1"/>
  <c r="I484" i="1"/>
  <c r="K441" i="1"/>
  <c r="P441" i="1"/>
  <c r="I441" i="1"/>
  <c r="K455" i="1"/>
  <c r="P455" i="1"/>
  <c r="I455" i="1"/>
  <c r="Q455" i="1" s="1"/>
  <c r="R455" i="1" s="1"/>
  <c r="K488" i="1"/>
  <c r="I488" i="1"/>
  <c r="P488" i="1"/>
  <c r="F464" i="1"/>
  <c r="K461" i="1"/>
  <c r="I461" i="1"/>
  <c r="P461" i="1"/>
  <c r="K530" i="1"/>
  <c r="I530" i="1"/>
  <c r="P530" i="1"/>
  <c r="K462" i="1"/>
  <c r="P462" i="1"/>
  <c r="I462" i="1"/>
  <c r="K163" i="1"/>
  <c r="I163" i="1"/>
  <c r="P163" i="1"/>
  <c r="K477" i="1"/>
  <c r="P477" i="1"/>
  <c r="I477" i="1"/>
  <c r="F457" i="1"/>
  <c r="K454" i="1"/>
  <c r="P454" i="1"/>
  <c r="I454" i="1"/>
  <c r="Q454" i="1" s="1"/>
  <c r="R454" i="1" s="1"/>
  <c r="K458" i="1"/>
  <c r="P458" i="1"/>
  <c r="I458" i="1"/>
  <c r="Q458" i="1" s="1"/>
  <c r="R458" i="1" s="1"/>
  <c r="K465" i="1"/>
  <c r="I465" i="1"/>
  <c r="P465" i="1"/>
  <c r="F471" i="1"/>
  <c r="K468" i="1"/>
  <c r="I468" i="1"/>
  <c r="P468" i="1"/>
  <c r="K485" i="1"/>
  <c r="I485" i="1"/>
  <c r="P485" i="1"/>
  <c r="K469" i="1"/>
  <c r="P469" i="1"/>
  <c r="I469" i="1"/>
  <c r="K472" i="1"/>
  <c r="P472" i="1"/>
  <c r="I472" i="1"/>
  <c r="P848" i="1"/>
  <c r="F443" i="1"/>
  <c r="K440" i="1"/>
  <c r="P440" i="1"/>
  <c r="I440" i="1"/>
  <c r="F479" i="1"/>
  <c r="K476" i="1"/>
  <c r="I476" i="1"/>
  <c r="P476" i="1"/>
  <c r="K70" i="1"/>
  <c r="I70" i="1"/>
  <c r="P70" i="1"/>
  <c r="K444" i="1"/>
  <c r="I444" i="1"/>
  <c r="P444" i="1"/>
  <c r="K480" i="1"/>
  <c r="P480" i="1"/>
  <c r="I480" i="1"/>
  <c r="Q480" i="1" s="1"/>
  <c r="R480" i="1" s="1"/>
  <c r="R1096" i="1"/>
  <c r="Q1033" i="1"/>
  <c r="R1033" i="1" s="1"/>
  <c r="H35" i="3" s="1"/>
  <c r="K970" i="1"/>
  <c r="E33" i="3" s="1"/>
  <c r="P970" i="1"/>
  <c r="G33" i="3" s="1"/>
  <c r="D33" i="3"/>
  <c r="I970" i="1"/>
  <c r="F33" i="3" s="1"/>
  <c r="F442" i="1"/>
  <c r="F463" i="1"/>
  <c r="F486" i="1"/>
  <c r="F470" i="1"/>
  <c r="F478" i="1"/>
  <c r="F456" i="1"/>
  <c r="F296" i="1"/>
  <c r="F297" i="1"/>
  <c r="F270" i="1"/>
  <c r="F331" i="1"/>
  <c r="F162" i="1"/>
  <c r="F283" i="1"/>
  <c r="F160" i="1"/>
  <c r="F287" i="1"/>
  <c r="F290" i="1"/>
  <c r="F309" i="1"/>
  <c r="F280" i="1"/>
  <c r="F159" i="1"/>
  <c r="F277" i="1"/>
  <c r="F542" i="1"/>
  <c r="F536" i="1"/>
  <c r="F524" i="1"/>
  <c r="Q472" i="1" l="1"/>
  <c r="R472" i="1" s="1"/>
  <c r="Q484" i="1"/>
  <c r="R484" i="1" s="1"/>
  <c r="Q461" i="1"/>
  <c r="R461" i="1" s="1"/>
  <c r="Q488" i="1"/>
  <c r="R488" i="1" s="1"/>
  <c r="Q476" i="1"/>
  <c r="R476" i="1" s="1"/>
  <c r="Q70" i="1"/>
  <c r="R70" i="1" s="1"/>
  <c r="Q163" i="1"/>
  <c r="R163" i="1" s="1"/>
  <c r="Q465" i="1"/>
  <c r="R465" i="1" s="1"/>
  <c r="Q530" i="1"/>
  <c r="R530" i="1" s="1"/>
  <c r="Q441" i="1"/>
  <c r="R441" i="1" s="1"/>
  <c r="K280" i="1"/>
  <c r="I280" i="1"/>
  <c r="P280" i="1"/>
  <c r="K478" i="1"/>
  <c r="P478" i="1"/>
  <c r="I478" i="1"/>
  <c r="Q440" i="1"/>
  <c r="R440" i="1" s="1"/>
  <c r="Q462" i="1"/>
  <c r="R462" i="1" s="1"/>
  <c r="K470" i="1"/>
  <c r="I470" i="1"/>
  <c r="P470" i="1"/>
  <c r="K290" i="1"/>
  <c r="I290" i="1"/>
  <c r="P290" i="1"/>
  <c r="K486" i="1"/>
  <c r="I486" i="1"/>
  <c r="P486" i="1"/>
  <c r="Q485" i="1"/>
  <c r="R485" i="1" s="1"/>
  <c r="K524" i="1"/>
  <c r="I524" i="1"/>
  <c r="P524" i="1"/>
  <c r="K456" i="1"/>
  <c r="P456" i="1"/>
  <c r="I456" i="1"/>
  <c r="Q456" i="1" s="1"/>
  <c r="R456" i="1" s="1"/>
  <c r="K479" i="1"/>
  <c r="P479" i="1"/>
  <c r="I479" i="1"/>
  <c r="K309" i="1"/>
  <c r="I309" i="1"/>
  <c r="P309" i="1"/>
  <c r="Q309" i="1" s="1"/>
  <c r="R309" i="1" s="1"/>
  <c r="K287" i="1"/>
  <c r="I287" i="1"/>
  <c r="P287" i="1"/>
  <c r="K463" i="1"/>
  <c r="P463" i="1"/>
  <c r="I463" i="1"/>
  <c r="Q444" i="1"/>
  <c r="R444" i="1" s="1"/>
  <c r="K443" i="1"/>
  <c r="I443" i="1"/>
  <c r="P443" i="1"/>
  <c r="K159" i="1"/>
  <c r="I159" i="1"/>
  <c r="P159" i="1"/>
  <c r="K160" i="1"/>
  <c r="I160" i="1"/>
  <c r="P160" i="1"/>
  <c r="K442" i="1"/>
  <c r="I442" i="1"/>
  <c r="P442" i="1"/>
  <c r="Q848" i="1"/>
  <c r="R848" i="1" s="1"/>
  <c r="Q468" i="1"/>
  <c r="R468" i="1" s="1"/>
  <c r="K457" i="1"/>
  <c r="P457" i="1"/>
  <c r="I457" i="1"/>
  <c r="Q477" i="1"/>
  <c r="R477" i="1" s="1"/>
  <c r="K471" i="1"/>
  <c r="P471" i="1"/>
  <c r="I471" i="1"/>
  <c r="K283" i="1"/>
  <c r="I283" i="1"/>
  <c r="P283" i="1"/>
  <c r="K162" i="1"/>
  <c r="I162" i="1"/>
  <c r="P162" i="1"/>
  <c r="K331" i="1"/>
  <c r="I331" i="1"/>
  <c r="P331" i="1"/>
  <c r="K536" i="1"/>
  <c r="I536" i="1"/>
  <c r="P536" i="1"/>
  <c r="K270" i="1"/>
  <c r="I270" i="1"/>
  <c r="P270" i="1"/>
  <c r="K542" i="1"/>
  <c r="I542" i="1"/>
  <c r="P542" i="1"/>
  <c r="K297" i="1"/>
  <c r="I297" i="1"/>
  <c r="P297" i="1"/>
  <c r="K464" i="1"/>
  <c r="P464" i="1"/>
  <c r="I464" i="1"/>
  <c r="K277" i="1"/>
  <c r="I277" i="1"/>
  <c r="P277" i="1"/>
  <c r="K296" i="1"/>
  <c r="I296" i="1"/>
  <c r="P296" i="1"/>
  <c r="Q469" i="1"/>
  <c r="R469" i="1" s="1"/>
  <c r="K487" i="1"/>
  <c r="P487" i="1"/>
  <c r="I487" i="1"/>
  <c r="Q970" i="1"/>
  <c r="R970" i="1" s="1"/>
  <c r="H33" i="3" s="1"/>
  <c r="F170" i="1"/>
  <c r="F254" i="1"/>
  <c r="F596" i="1"/>
  <c r="F432" i="1"/>
  <c r="F427" i="1"/>
  <c r="F426" i="1"/>
  <c r="F425" i="1"/>
  <c r="F489" i="1"/>
  <c r="F481" i="1"/>
  <c r="F279" i="1"/>
  <c r="F446" i="1"/>
  <c r="F539" i="1"/>
  <c r="F527" i="1"/>
  <c r="F544" i="1"/>
  <c r="F538" i="1"/>
  <c r="F526" i="1"/>
  <c r="F269" i="1"/>
  <c r="F278" i="1"/>
  <c r="F543" i="1"/>
  <c r="F537" i="1"/>
  <c r="F525" i="1"/>
  <c r="F158" i="1"/>
  <c r="F276" i="1"/>
  <c r="F275" i="1"/>
  <c r="F533" i="1"/>
  <c r="F132" i="1"/>
  <c r="F128" i="1"/>
  <c r="F94" i="1"/>
  <c r="F93" i="1"/>
  <c r="F1028" i="1"/>
  <c r="F67" i="1"/>
  <c r="F66" i="1"/>
  <c r="F63" i="1"/>
  <c r="F62" i="1"/>
  <c r="F61" i="1"/>
  <c r="F60" i="1"/>
  <c r="F59" i="1"/>
  <c r="F58" i="1"/>
  <c r="F57" i="1"/>
  <c r="F54" i="1"/>
  <c r="F78" i="1"/>
  <c r="C21" i="3"/>
  <c r="F274" i="1"/>
  <c r="F230" i="1"/>
  <c r="F215" i="1"/>
  <c r="F216" i="1"/>
  <c r="F213" i="1"/>
  <c r="F189" i="1"/>
  <c r="B17" i="3"/>
  <c r="C17" i="3"/>
  <c r="B37" i="3"/>
  <c r="B39" i="3"/>
  <c r="D13" i="3"/>
  <c r="D12" i="3"/>
  <c r="C36" i="3"/>
  <c r="D36" i="3" s="1"/>
  <c r="C34" i="3"/>
  <c r="C32" i="3"/>
  <c r="C31" i="3"/>
  <c r="C30" i="3"/>
  <c r="C29" i="3"/>
  <c r="C28" i="3"/>
  <c r="C27" i="3"/>
  <c r="C26" i="3"/>
  <c r="C25" i="3"/>
  <c r="C24" i="3"/>
  <c r="D24" i="3" s="1"/>
  <c r="C23" i="3"/>
  <c r="C22" i="3"/>
  <c r="C20" i="3"/>
  <c r="D20" i="3" s="1"/>
  <c r="C18" i="3"/>
  <c r="E12" i="3"/>
  <c r="B12" i="3"/>
  <c r="Q457" i="1" l="1"/>
  <c r="R457" i="1" s="1"/>
  <c r="Q487" i="1"/>
  <c r="R487" i="1" s="1"/>
  <c r="Q331" i="1"/>
  <c r="R331" i="1" s="1"/>
  <c r="Q478" i="1"/>
  <c r="R478" i="1" s="1"/>
  <c r="Q270" i="1"/>
  <c r="R270" i="1" s="1"/>
  <c r="Q283" i="1"/>
  <c r="R283" i="1" s="1"/>
  <c r="Q442" i="1"/>
  <c r="R442" i="1" s="1"/>
  <c r="Q464" i="1"/>
  <c r="R464" i="1" s="1"/>
  <c r="Q471" i="1"/>
  <c r="R471" i="1" s="1"/>
  <c r="Q296" i="1"/>
  <c r="R296" i="1" s="1"/>
  <c r="Q162" i="1"/>
  <c r="R162" i="1" s="1"/>
  <c r="K1028" i="1"/>
  <c r="I1028" i="1"/>
  <c r="Q479" i="1"/>
  <c r="R479" i="1" s="1"/>
  <c r="Q160" i="1"/>
  <c r="R160" i="1" s="1"/>
  <c r="Q470" i="1"/>
  <c r="R470" i="1" s="1"/>
  <c r="Q463" i="1"/>
  <c r="R463" i="1" s="1"/>
  <c r="Q287" i="1"/>
  <c r="R287" i="1" s="1"/>
  <c r="Q524" i="1"/>
  <c r="R524" i="1" s="1"/>
  <c r="K538" i="1"/>
  <c r="I538" i="1"/>
  <c r="P538" i="1"/>
  <c r="K58" i="1"/>
  <c r="I58" i="1"/>
  <c r="P58" i="1"/>
  <c r="K132" i="1"/>
  <c r="I132" i="1"/>
  <c r="P132" i="1"/>
  <c r="K544" i="1"/>
  <c r="P544" i="1"/>
  <c r="I544" i="1"/>
  <c r="K254" i="1"/>
  <c r="I254" i="1"/>
  <c r="P254" i="1"/>
  <c r="K59" i="1"/>
  <c r="I59" i="1"/>
  <c r="P59" i="1"/>
  <c r="K533" i="1"/>
  <c r="I533" i="1"/>
  <c r="P533" i="1"/>
  <c r="K527" i="1"/>
  <c r="I527" i="1"/>
  <c r="P527" i="1"/>
  <c r="K170" i="1"/>
  <c r="I170" i="1"/>
  <c r="P170" i="1"/>
  <c r="Q536" i="1"/>
  <c r="R536" i="1" s="1"/>
  <c r="K596" i="1"/>
  <c r="I596" i="1"/>
  <c r="P596" i="1"/>
  <c r="K60" i="1"/>
  <c r="I60" i="1"/>
  <c r="P60" i="1"/>
  <c r="K213" i="1"/>
  <c r="I213" i="1"/>
  <c r="P213" i="1"/>
  <c r="K61" i="1"/>
  <c r="I61" i="1"/>
  <c r="P61" i="1"/>
  <c r="K276" i="1"/>
  <c r="I276" i="1"/>
  <c r="P276" i="1"/>
  <c r="K446" i="1"/>
  <c r="P446" i="1"/>
  <c r="I446" i="1"/>
  <c r="K275" i="1"/>
  <c r="I275" i="1"/>
  <c r="P275" i="1"/>
  <c r="K216" i="1"/>
  <c r="P216" i="1"/>
  <c r="I216" i="1"/>
  <c r="K62" i="1"/>
  <c r="I62" i="1"/>
  <c r="P62" i="1"/>
  <c r="K158" i="1"/>
  <c r="I158" i="1"/>
  <c r="P158" i="1"/>
  <c r="K279" i="1"/>
  <c r="I279" i="1"/>
  <c r="P279" i="1"/>
  <c r="Q297" i="1"/>
  <c r="R297" i="1" s="1"/>
  <c r="Q159" i="1"/>
  <c r="R159" i="1" s="1"/>
  <c r="K57" i="1"/>
  <c r="I57" i="1"/>
  <c r="P57" i="1"/>
  <c r="Q57" i="1" s="1"/>
  <c r="R57" i="1" s="1"/>
  <c r="K128" i="1"/>
  <c r="I128" i="1"/>
  <c r="P128" i="1"/>
  <c r="K189" i="1"/>
  <c r="I189" i="1"/>
  <c r="P189" i="1"/>
  <c r="K215" i="1"/>
  <c r="I215" i="1"/>
  <c r="P215" i="1"/>
  <c r="K63" i="1"/>
  <c r="I63" i="1"/>
  <c r="P63" i="1"/>
  <c r="K525" i="1"/>
  <c r="I525" i="1"/>
  <c r="P525" i="1"/>
  <c r="Q525" i="1" s="1"/>
  <c r="R525" i="1" s="1"/>
  <c r="K481" i="1"/>
  <c r="I481" i="1"/>
  <c r="P481" i="1"/>
  <c r="K539" i="1"/>
  <c r="P539" i="1"/>
  <c r="I539" i="1"/>
  <c r="K230" i="1"/>
  <c r="I230" i="1"/>
  <c r="P230" i="1"/>
  <c r="Q230" i="1" s="1"/>
  <c r="R230" i="1" s="1"/>
  <c r="K66" i="1"/>
  <c r="I66" i="1"/>
  <c r="P66" i="1"/>
  <c r="K537" i="1"/>
  <c r="I537" i="1"/>
  <c r="P537" i="1"/>
  <c r="K489" i="1"/>
  <c r="P489" i="1"/>
  <c r="I489" i="1"/>
  <c r="K274" i="1"/>
  <c r="I274" i="1"/>
  <c r="P274" i="1"/>
  <c r="K67" i="1"/>
  <c r="I67" i="1"/>
  <c r="P67" i="1"/>
  <c r="Q67" i="1" s="1"/>
  <c r="R67" i="1" s="1"/>
  <c r="K543" i="1"/>
  <c r="P543" i="1"/>
  <c r="I543" i="1"/>
  <c r="Q543" i="1" s="1"/>
  <c r="R543" i="1" s="1"/>
  <c r="K425" i="1"/>
  <c r="I425" i="1"/>
  <c r="P425" i="1"/>
  <c r="Q486" i="1"/>
  <c r="R486" i="1" s="1"/>
  <c r="P1028" i="1"/>
  <c r="K278" i="1"/>
  <c r="I278" i="1"/>
  <c r="P278" i="1"/>
  <c r="Q278" i="1" s="1"/>
  <c r="R278" i="1" s="1"/>
  <c r="I426" i="1"/>
  <c r="K426" i="1"/>
  <c r="P426" i="1"/>
  <c r="Q542" i="1"/>
  <c r="R542" i="1" s="1"/>
  <c r="Q443" i="1"/>
  <c r="R443" i="1" s="1"/>
  <c r="K78" i="1"/>
  <c r="K75" i="1" s="1"/>
  <c r="E21" i="3" s="1"/>
  <c r="I78" i="1"/>
  <c r="I75" i="1" s="1"/>
  <c r="F21" i="3" s="1"/>
  <c r="P78" i="1"/>
  <c r="Q78" i="1" s="1"/>
  <c r="R78" i="1" s="1"/>
  <c r="K93" i="1"/>
  <c r="I93" i="1"/>
  <c r="P93" i="1"/>
  <c r="K269" i="1"/>
  <c r="I269" i="1"/>
  <c r="P269" i="1"/>
  <c r="K427" i="1"/>
  <c r="P427" i="1"/>
  <c r="I427" i="1"/>
  <c r="Q290" i="1"/>
  <c r="R290" i="1" s="1"/>
  <c r="Q280" i="1"/>
  <c r="R280" i="1" s="1"/>
  <c r="K54" i="1"/>
  <c r="I54" i="1"/>
  <c r="P54" i="1"/>
  <c r="K94" i="1"/>
  <c r="I94" i="1"/>
  <c r="P94" i="1"/>
  <c r="K526" i="1"/>
  <c r="I526" i="1"/>
  <c r="P526" i="1"/>
  <c r="K432" i="1"/>
  <c r="I432" i="1"/>
  <c r="P432" i="1"/>
  <c r="Q432" i="1" s="1"/>
  <c r="R432" i="1" s="1"/>
  <c r="Q277" i="1"/>
  <c r="R277" i="1" s="1"/>
  <c r="F451" i="1"/>
  <c r="F448" i="1"/>
  <c r="F447" i="1"/>
  <c r="F434" i="1"/>
  <c r="F433" i="1"/>
  <c r="F437" i="1"/>
  <c r="D21" i="3"/>
  <c r="D34" i="3"/>
  <c r="D32" i="3"/>
  <c r="D31" i="3"/>
  <c r="D30" i="3"/>
  <c r="D25" i="3"/>
  <c r="D18" i="3"/>
  <c r="D29" i="3"/>
  <c r="D28" i="3"/>
  <c r="D27" i="3"/>
  <c r="D26" i="3"/>
  <c r="D23" i="3"/>
  <c r="D22" i="3"/>
  <c r="Q216" i="1" l="1"/>
  <c r="R216" i="1" s="1"/>
  <c r="Q425" i="1"/>
  <c r="R425" i="1" s="1"/>
  <c r="Q538" i="1"/>
  <c r="R538" i="1" s="1"/>
  <c r="Q189" i="1"/>
  <c r="R189" i="1" s="1"/>
  <c r="Q275" i="1"/>
  <c r="R275" i="1" s="1"/>
  <c r="Q158" i="1"/>
  <c r="R158" i="1" s="1"/>
  <c r="Q446" i="1"/>
  <c r="R446" i="1" s="1"/>
  <c r="Q62" i="1"/>
  <c r="R62" i="1" s="1"/>
  <c r="Q58" i="1"/>
  <c r="R58" i="1" s="1"/>
  <c r="Q61" i="1"/>
  <c r="R61" i="1" s="1"/>
  <c r="Q170" i="1"/>
  <c r="R170" i="1" s="1"/>
  <c r="Q526" i="1"/>
  <c r="R526" i="1" s="1"/>
  <c r="Q489" i="1"/>
  <c r="R489" i="1" s="1"/>
  <c r="P75" i="1"/>
  <c r="G21" i="3" s="1"/>
  <c r="Q544" i="1"/>
  <c r="R544" i="1" s="1"/>
  <c r="Q94" i="1"/>
  <c r="R94" i="1" s="1"/>
  <c r="Q1028" i="1"/>
  <c r="R1028" i="1" s="1"/>
  <c r="K433" i="1"/>
  <c r="P433" i="1"/>
  <c r="I433" i="1"/>
  <c r="Q269" i="1"/>
  <c r="R269" i="1" s="1"/>
  <c r="Q537" i="1"/>
  <c r="R537" i="1" s="1"/>
  <c r="Q481" i="1"/>
  <c r="R481" i="1" s="1"/>
  <c r="Q527" i="1"/>
  <c r="R527" i="1" s="1"/>
  <c r="K434" i="1"/>
  <c r="P434" i="1"/>
  <c r="I434" i="1"/>
  <c r="Q60" i="1"/>
  <c r="R60" i="1" s="1"/>
  <c r="K447" i="1"/>
  <c r="P447" i="1"/>
  <c r="I447" i="1"/>
  <c r="Q447" i="1" s="1"/>
  <c r="R447" i="1" s="1"/>
  <c r="Q128" i="1"/>
  <c r="R128" i="1" s="1"/>
  <c r="Q533" i="1"/>
  <c r="R533" i="1" s="1"/>
  <c r="K448" i="1"/>
  <c r="P448" i="1"/>
  <c r="I448" i="1"/>
  <c r="Q93" i="1"/>
  <c r="R93" i="1" s="1"/>
  <c r="Q66" i="1"/>
  <c r="R66" i="1" s="1"/>
  <c r="Q132" i="1"/>
  <c r="R132" i="1" s="1"/>
  <c r="K451" i="1"/>
  <c r="P451" i="1"/>
  <c r="I451" i="1"/>
  <c r="Q54" i="1"/>
  <c r="R54" i="1" s="1"/>
  <c r="Q276" i="1"/>
  <c r="R276" i="1" s="1"/>
  <c r="Q596" i="1"/>
  <c r="R596" i="1" s="1"/>
  <c r="Q274" i="1"/>
  <c r="R274" i="1" s="1"/>
  <c r="Q63" i="1"/>
  <c r="R63" i="1" s="1"/>
  <c r="Q59" i="1"/>
  <c r="R59" i="1" s="1"/>
  <c r="Q427" i="1"/>
  <c r="R427" i="1" s="1"/>
  <c r="Q539" i="1"/>
  <c r="R539" i="1" s="1"/>
  <c r="Q215" i="1"/>
  <c r="R215" i="1" s="1"/>
  <c r="Q254" i="1"/>
  <c r="R254" i="1" s="1"/>
  <c r="K437" i="1"/>
  <c r="P437" i="1"/>
  <c r="I437" i="1"/>
  <c r="Q437" i="1" s="1"/>
  <c r="R437" i="1" s="1"/>
  <c r="Q426" i="1"/>
  <c r="R426" i="1" s="1"/>
  <c r="Q279" i="1"/>
  <c r="R279" i="1" s="1"/>
  <c r="Q213" i="1"/>
  <c r="R213" i="1" s="1"/>
  <c r="F436" i="1"/>
  <c r="F435" i="1"/>
  <c r="F450" i="1"/>
  <c r="F449" i="1"/>
  <c r="Q448" i="1" l="1"/>
  <c r="R448" i="1" s="1"/>
  <c r="Q433" i="1"/>
  <c r="R433" i="1" s="1"/>
  <c r="Q434" i="1"/>
  <c r="R434" i="1" s="1"/>
  <c r="K436" i="1"/>
  <c r="P436" i="1"/>
  <c r="I436" i="1"/>
  <c r="K450" i="1"/>
  <c r="P450" i="1"/>
  <c r="I450" i="1"/>
  <c r="K449" i="1"/>
  <c r="P449" i="1"/>
  <c r="I449" i="1"/>
  <c r="K435" i="1"/>
  <c r="P435" i="1"/>
  <c r="I435" i="1"/>
  <c r="Q451" i="1"/>
  <c r="R451" i="1" s="1"/>
  <c r="Q75" i="1"/>
  <c r="R75" i="1" s="1"/>
  <c r="H21" i="3" s="1"/>
  <c r="Q450" i="1" l="1"/>
  <c r="R450" i="1" s="1"/>
  <c r="Q449" i="1"/>
  <c r="R449" i="1" s="1"/>
  <c r="Q436" i="1"/>
  <c r="R436" i="1" s="1"/>
  <c r="Q435" i="1"/>
  <c r="R435" i="1" s="1"/>
  <c r="B42" i="1"/>
  <c r="B43" i="1"/>
  <c r="B44" i="1"/>
  <c r="B23" i="1"/>
  <c r="B1258" i="1"/>
  <c r="B22" i="1"/>
  <c r="B27" i="1" l="1"/>
  <c r="K822" i="1"/>
  <c r="E32" i="3" s="1"/>
  <c r="K575" i="1"/>
  <c r="E28" i="3" s="1"/>
  <c r="K660" i="1"/>
  <c r="E30" i="3" s="1"/>
  <c r="P575" i="1"/>
  <c r="G28" i="3" s="1"/>
  <c r="K1221" i="1"/>
  <c r="E36" i="3" s="1"/>
  <c r="K547" i="1"/>
  <c r="E27" i="3" s="1"/>
  <c r="K344" i="1"/>
  <c r="E25" i="3" s="1"/>
  <c r="K589" i="1"/>
  <c r="E29" i="3" s="1"/>
  <c r="P1221" i="1"/>
  <c r="G36" i="3" s="1"/>
  <c r="P660" i="1"/>
  <c r="G30" i="3" s="1"/>
  <c r="P344" i="1"/>
  <c r="G25" i="3" s="1"/>
  <c r="P822" i="1"/>
  <c r="G32" i="3" s="1"/>
  <c r="P547" i="1"/>
  <c r="G27" i="3" s="1"/>
  <c r="P589" i="1"/>
  <c r="G29" i="3" s="1"/>
  <c r="I547" i="1"/>
  <c r="F27" i="3" s="1"/>
  <c r="I822" i="1"/>
  <c r="F32" i="3" s="1"/>
  <c r="I589" i="1"/>
  <c r="F29" i="3" s="1"/>
  <c r="I575" i="1"/>
  <c r="F28" i="3" s="1"/>
  <c r="I344" i="1"/>
  <c r="F25" i="3" s="1"/>
  <c r="I660" i="1"/>
  <c r="F30" i="3" s="1"/>
  <c r="I1221" i="1"/>
  <c r="F36" i="3" s="1"/>
  <c r="K739" i="1"/>
  <c r="E31" i="3" s="1"/>
  <c r="P266" i="1"/>
  <c r="G24" i="3" s="1"/>
  <c r="K266" i="1"/>
  <c r="E24" i="3" s="1"/>
  <c r="I266" i="1"/>
  <c r="F24" i="3" s="1"/>
  <c r="P739" i="1"/>
  <c r="G31" i="3" s="1"/>
  <c r="B28" i="1" l="1"/>
  <c r="P155" i="1"/>
  <c r="G23" i="3" s="1"/>
  <c r="K90" i="1"/>
  <c r="E22" i="3" s="1"/>
  <c r="K42" i="1"/>
  <c r="E20" i="3" s="1"/>
  <c r="K155" i="1"/>
  <c r="E23" i="3" s="1"/>
  <c r="P90" i="1"/>
  <c r="G22" i="3" s="1"/>
  <c r="I42" i="1"/>
  <c r="F20" i="3" s="1"/>
  <c r="P42" i="1"/>
  <c r="G20" i="3" s="1"/>
  <c r="P1022" i="1"/>
  <c r="G34" i="3" s="1"/>
  <c r="Q344" i="1"/>
  <c r="R344" i="1" s="1"/>
  <c r="H25" i="3" s="1"/>
  <c r="I155" i="1"/>
  <c r="F23" i="3" s="1"/>
  <c r="Q822" i="1"/>
  <c r="R822" i="1" s="1"/>
  <c r="H32" i="3" s="1"/>
  <c r="I90" i="1"/>
  <c r="F22" i="3" s="1"/>
  <c r="I739" i="1"/>
  <c r="F31" i="3" s="1"/>
  <c r="Q660" i="1"/>
  <c r="R660" i="1" s="1"/>
  <c r="H30" i="3" s="1"/>
  <c r="Q547" i="1"/>
  <c r="R547" i="1" s="1"/>
  <c r="H27" i="3" s="1"/>
  <c r="Q1221" i="1"/>
  <c r="R1221" i="1" s="1"/>
  <c r="H36" i="3" s="1"/>
  <c r="Q589" i="1"/>
  <c r="R589" i="1" s="1"/>
  <c r="H29" i="3" s="1"/>
  <c r="Q575" i="1"/>
  <c r="R575" i="1" s="1"/>
  <c r="H28" i="3" s="1"/>
  <c r="K1022" i="1"/>
  <c r="E34" i="3" s="1"/>
  <c r="B29" i="1" l="1"/>
  <c r="B30" i="1" s="1"/>
  <c r="Q266" i="1"/>
  <c r="R266" i="1" s="1"/>
  <c r="H24" i="3" s="1"/>
  <c r="Q739" i="1"/>
  <c r="R739" i="1" s="1"/>
  <c r="H31" i="3" s="1"/>
  <c r="Q155" i="1"/>
  <c r="R155" i="1" s="1"/>
  <c r="H23" i="3" s="1"/>
  <c r="I1022" i="1"/>
  <c r="F34" i="3" s="1"/>
  <c r="Q90" i="1"/>
  <c r="R90" i="1" s="1"/>
  <c r="H22" i="3" s="1"/>
  <c r="Q42" i="1"/>
  <c r="R42" i="1" s="1"/>
  <c r="H20" i="3" s="1"/>
  <c r="B31" i="1" l="1"/>
  <c r="K392" i="1"/>
  <c r="E26" i="3" s="1"/>
  <c r="P392" i="1"/>
  <c r="G26" i="3" s="1"/>
  <c r="Q1022" i="1"/>
  <c r="R1022" i="1" s="1"/>
  <c r="H34" i="3" s="1"/>
  <c r="I392" i="1"/>
  <c r="F26" i="3" s="1"/>
  <c r="B32" i="1" l="1"/>
  <c r="Q392" i="1"/>
  <c r="R392" i="1" s="1"/>
  <c r="H26" i="3" s="1"/>
  <c r="B33" i="1" l="1"/>
  <c r="N21" i="1"/>
  <c r="O21" i="1" s="1"/>
  <c r="P21" i="1" s="1"/>
  <c r="P20" i="1" s="1"/>
  <c r="K21" i="1"/>
  <c r="H21" i="1"/>
  <c r="I21" i="1" s="1"/>
  <c r="I20" i="1" s="1"/>
  <c r="B34" i="1" l="1"/>
  <c r="R13" i="1"/>
  <c r="E38" i="3" s="1"/>
  <c r="K20" i="1"/>
  <c r="E18" i="3" s="1"/>
  <c r="R5" i="1"/>
  <c r="R8" i="1" s="1"/>
  <c r="G18" i="3"/>
  <c r="R4" i="1"/>
  <c r="F18" i="3"/>
  <c r="Q21" i="1"/>
  <c r="B35" i="1" l="1"/>
  <c r="R21" i="1"/>
  <c r="Q20" i="1"/>
  <c r="R20" i="1" s="1"/>
  <c r="H18" i="3" s="1"/>
  <c r="B18" i="3" s="1"/>
  <c r="R6" i="1"/>
  <c r="B19" i="3" l="1"/>
  <c r="B20" i="3" s="1"/>
  <c r="B21" i="3" s="1"/>
  <c r="B36" i="1"/>
  <c r="B37" i="1" s="1"/>
  <c r="B38" i="1" s="1"/>
  <c r="B39" i="1" s="1"/>
  <c r="B40" i="1" s="1"/>
  <c r="H38" i="3"/>
  <c r="R11" i="1"/>
  <c r="B20" i="1"/>
  <c r="B19" i="1"/>
  <c r="B22" i="3" l="1"/>
  <c r="B23" i="3" s="1"/>
  <c r="B45" i="1"/>
  <c r="B48" i="1" s="1"/>
  <c r="R7" i="1"/>
  <c r="B24" i="3" l="1"/>
  <c r="B25" i="3" s="1"/>
  <c r="B49" i="1"/>
  <c r="B54" i="1" s="1"/>
  <c r="R9" i="1"/>
  <c r="B26" i="3" l="1"/>
  <c r="B27" i="3" s="1"/>
  <c r="B28" i="3" s="1"/>
  <c r="B57" i="1"/>
  <c r="B58" i="1" s="1"/>
  <c r="B59" i="1" s="1"/>
  <c r="B60" i="1" s="1"/>
  <c r="R10" i="1"/>
  <c r="B29" i="3" l="1"/>
  <c r="B61" i="1"/>
  <c r="R12" i="1"/>
  <c r="B30" i="3" l="1"/>
  <c r="B31" i="3" s="1"/>
  <c r="B32" i="3" s="1"/>
  <c r="B33" i="3" s="1"/>
  <c r="B34" i="3" s="1"/>
  <c r="B35" i="3" s="1"/>
  <c r="B36" i="3" s="1"/>
  <c r="B62" i="1"/>
  <c r="B63" i="1" s="1"/>
  <c r="B66" i="1" s="1"/>
  <c r="B67" i="1" s="1"/>
  <c r="B70" i="1" s="1"/>
  <c r="B73" i="1" s="1"/>
  <c r="B78" i="1" s="1"/>
  <c r="B81" i="1" s="1"/>
  <c r="B84" i="1" s="1"/>
  <c r="B85" i="1" s="1"/>
  <c r="B88" i="1" s="1"/>
  <c r="B93" i="1" s="1"/>
  <c r="B94" i="1" s="1"/>
  <c r="B95" i="1" s="1"/>
  <c r="B96" i="1" s="1"/>
  <c r="B97" i="1" s="1"/>
  <c r="B98" i="1" s="1"/>
  <c r="B101" i="1" s="1"/>
  <c r="B102" i="1" s="1"/>
  <c r="B103" i="1" s="1"/>
  <c r="B104" i="1" s="1"/>
  <c r="B105" i="1" s="1"/>
  <c r="B106" i="1" s="1"/>
  <c r="B107" i="1" s="1"/>
  <c r="B108" i="1" s="1"/>
  <c r="B109" i="1" s="1"/>
  <c r="B110" i="1" s="1"/>
  <c r="B111" i="1" s="1"/>
  <c r="B112" i="1" s="1"/>
  <c r="B113" i="1" s="1"/>
  <c r="B114" i="1" s="1"/>
  <c r="B115" i="1" s="1"/>
  <c r="B116" i="1" s="1"/>
  <c r="B117" i="1" s="1"/>
  <c r="B118" i="1" s="1"/>
  <c r="B121" i="1" s="1"/>
  <c r="B122" i="1" s="1"/>
  <c r="B123" i="1" s="1"/>
  <c r="B126" i="1" s="1"/>
  <c r="B127" i="1" s="1"/>
  <c r="B128" i="1" s="1"/>
  <c r="B129" i="1" s="1"/>
  <c r="B132" i="1" s="1"/>
  <c r="B133" i="1" s="1"/>
  <c r="B134" i="1" s="1"/>
  <c r="B137" i="1" s="1"/>
  <c r="B138" i="1" s="1"/>
  <c r="B139" i="1" s="1"/>
  <c r="B142" i="1" s="1"/>
  <c r="B145" i="1" s="1"/>
  <c r="B146" i="1" s="1"/>
  <c r="B147" i="1" s="1"/>
  <c r="B148" i="1" s="1"/>
  <c r="B149" i="1" s="1"/>
  <c r="B150" i="1" s="1"/>
  <c r="B153" i="1" s="1"/>
  <c r="B158" i="1" s="1"/>
  <c r="B159" i="1" s="1"/>
  <c r="B160" i="1" s="1"/>
  <c r="B161" i="1" s="1"/>
  <c r="B162" i="1" s="1"/>
  <c r="B163" i="1" s="1"/>
  <c r="B164" i="1" s="1"/>
  <c r="B167" i="1" s="1"/>
  <c r="B170" i="1" s="1"/>
  <c r="B171" i="1" s="1"/>
  <c r="B172" i="1" s="1"/>
  <c r="B173" i="1" s="1"/>
  <c r="B174" i="1" s="1"/>
  <c r="B175" i="1" s="1"/>
  <c r="B176" i="1" s="1"/>
  <c r="B177" i="1" s="1"/>
  <c r="B178" i="1" s="1"/>
  <c r="B185" i="1" s="1"/>
  <c r="B188" i="1" s="1"/>
  <c r="B189" i="1" s="1"/>
  <c r="B190" i="1" s="1"/>
  <c r="B191" i="1" s="1"/>
  <c r="B192" i="1" s="1"/>
  <c r="B193" i="1" s="1"/>
  <c r="B194" i="1" s="1"/>
  <c r="B195" i="1" s="1"/>
  <c r="B198" i="1" s="1"/>
  <c r="B199" i="1" s="1"/>
  <c r="B200" i="1" s="1"/>
  <c r="B201" i="1" s="1"/>
  <c r="B202" i="1" s="1"/>
  <c r="B203" i="1" s="1"/>
  <c r="B206" i="1" s="1"/>
  <c r="B207" i="1" s="1"/>
  <c r="B208" i="1" s="1"/>
  <c r="B209" i="1" s="1"/>
  <c r="B212" i="1" s="1"/>
  <c r="B213" i="1" s="1"/>
  <c r="B214" i="1" s="1"/>
  <c r="B215" i="1" s="1"/>
  <c r="B216" i="1" s="1"/>
  <c r="B219" i="1" s="1"/>
  <c r="B222" i="1" s="1"/>
  <c r="B223" i="1" s="1"/>
  <c r="B224" i="1" s="1"/>
  <c r="B227" i="1" s="1"/>
  <c r="B228" i="1" s="1"/>
  <c r="B229" i="1" s="1"/>
  <c r="B230" i="1" s="1"/>
  <c r="B231" i="1" s="1"/>
  <c r="B234" i="1" s="1"/>
  <c r="B235" i="1" s="1"/>
  <c r="B236" i="1" s="1"/>
  <c r="B237" i="1" s="1"/>
  <c r="B238" i="1" s="1"/>
  <c r="B239" i="1" s="1"/>
  <c r="B240" i="1" s="1"/>
  <c r="B241" i="1" s="1"/>
  <c r="B242" i="1" s="1"/>
  <c r="B245" i="1" s="1"/>
  <c r="B246" i="1" s="1"/>
  <c r="B249" i="1" s="1"/>
  <c r="B250" i="1" s="1"/>
  <c r="B251" i="1" s="1"/>
  <c r="B254" i="1" s="1"/>
  <c r="B255" i="1" s="1"/>
  <c r="B256" i="1" s="1"/>
  <c r="B269" i="1" s="1"/>
  <c r="B270" i="1" s="1"/>
  <c r="B271" i="1" s="1"/>
  <c r="B274" i="1" s="1"/>
  <c r="B275" i="1" s="1"/>
  <c r="B276" i="1" s="1"/>
  <c r="B277" i="1" s="1"/>
  <c r="B278" i="1" s="1"/>
  <c r="B279" i="1" s="1"/>
  <c r="B280" i="1" s="1"/>
  <c r="B281" i="1" s="1"/>
  <c r="B282" i="1" s="1"/>
  <c r="B283" i="1" s="1"/>
  <c r="B284" i="1" s="1"/>
  <c r="B287" i="1" s="1"/>
  <c r="B290" i="1" s="1"/>
  <c r="B293" i="1" s="1"/>
  <c r="B296" i="1" s="1"/>
  <c r="B297" i="1" s="1"/>
  <c r="B300" i="1" s="1"/>
  <c r="B303" i="1" s="1"/>
  <c r="B304" i="1" s="1"/>
  <c r="B305" i="1" s="1"/>
  <c r="B308" i="1" s="1"/>
  <c r="B309" i="1" s="1"/>
  <c r="B312" i="1" s="1"/>
  <c r="B313" i="1" s="1"/>
  <c r="B314" i="1" s="1"/>
  <c r="B315" i="1" s="1"/>
  <c r="B316" i="1" s="1"/>
  <c r="B321" i="1" s="1"/>
  <c r="B322" i="1" s="1"/>
  <c r="B323" i="1" s="1"/>
  <c r="B326" i="1" s="1"/>
  <c r="B327" i="1" s="1"/>
  <c r="B328" i="1" s="1"/>
  <c r="B331" i="1" s="1"/>
  <c r="B334" i="1" s="1"/>
  <c r="B337" i="1" s="1"/>
  <c r="B338" i="1" s="1"/>
  <c r="B339" i="1" s="1"/>
  <c r="B342" i="1" s="1"/>
  <c r="B351" i="1" s="1"/>
  <c r="B352" i="1" s="1"/>
  <c r="B353" i="1" s="1"/>
  <c r="B354" i="1" s="1"/>
  <c r="B355" i="1" s="1"/>
  <c r="B358" i="1" s="1"/>
  <c r="B359" i="1" s="1"/>
  <c r="B362" i="1" s="1"/>
  <c r="B365" i="1" s="1"/>
  <c r="B366" i="1" s="1"/>
  <c r="B367" i="1" s="1"/>
  <c r="B368" i="1" s="1"/>
  <c r="B369" i="1" s="1"/>
  <c r="B370" i="1" s="1"/>
  <c r="B371" i="1" s="1"/>
  <c r="B372" i="1" s="1"/>
  <c r="B373" i="1" s="1"/>
  <c r="B376" i="1" s="1"/>
  <c r="B379" i="1" s="1"/>
  <c r="B380" i="1" s="1"/>
  <c r="B381" i="1" s="1"/>
  <c r="B382" i="1" s="1"/>
  <c r="B383" i="1" s="1"/>
  <c r="B384" i="1" s="1"/>
  <c r="B388" i="1" s="1"/>
  <c r="B389" i="1" s="1"/>
  <c r="B390" i="1" s="1"/>
  <c r="B395" i="1" s="1"/>
  <c r="B396" i="1" s="1"/>
  <c r="B397" i="1" s="1"/>
  <c r="B398" i="1" s="1"/>
  <c r="B399" i="1" s="1"/>
  <c r="B400" i="1" s="1"/>
  <c r="B401" i="1" s="1"/>
  <c r="B402" i="1" s="1"/>
  <c r="B405" i="1" s="1"/>
  <c r="B406" i="1" s="1"/>
  <c r="B409" i="1" s="1"/>
  <c r="B410" i="1" s="1"/>
  <c r="B413" i="1" s="1"/>
  <c r="B414" i="1" s="1"/>
  <c r="B415" i="1" s="1"/>
  <c r="B416" i="1" s="1"/>
  <c r="B417" i="1" s="1"/>
  <c r="B418" i="1" s="1"/>
  <c r="B421" i="1" s="1"/>
  <c r="B422" i="1" s="1"/>
  <c r="B423" i="1" s="1"/>
  <c r="B424" i="1" s="1"/>
  <c r="B425" i="1" s="1"/>
  <c r="B426" i="1" s="1"/>
  <c r="B427" i="1" s="1"/>
  <c r="B432" i="1" s="1"/>
  <c r="B433" i="1" s="1"/>
  <c r="B434" i="1" s="1"/>
  <c r="B435" i="1" s="1"/>
  <c r="B436" i="1" s="1"/>
  <c r="B437" i="1" s="1"/>
  <c r="B439" i="1" s="1"/>
  <c r="B440" i="1" s="1"/>
  <c r="B441" i="1" s="1"/>
  <c r="B442" i="1" s="1"/>
  <c r="B443" i="1" s="1"/>
  <c r="B444" i="1" s="1"/>
  <c r="B446" i="1" s="1"/>
  <c r="B447" i="1" s="1"/>
  <c r="B448" i="1" s="1"/>
  <c r="B449" i="1" s="1"/>
  <c r="B450" i="1" s="1"/>
  <c r="B451" i="1" s="1"/>
  <c r="B453" i="1" s="1"/>
  <c r="B454" i="1" s="1"/>
  <c r="B455" i="1" s="1"/>
  <c r="B456" i="1" s="1"/>
  <c r="B457" i="1" s="1"/>
  <c r="B458" i="1" s="1"/>
  <c r="B460" i="1" s="1"/>
  <c r="B461" i="1" s="1"/>
  <c r="B462" i="1" s="1"/>
  <c r="B463" i="1" s="1"/>
  <c r="B464" i="1" s="1"/>
  <c r="B465" i="1" s="1"/>
  <c r="B467" i="1" s="1"/>
  <c r="B468" i="1" s="1"/>
  <c r="B469" i="1" s="1"/>
  <c r="B470" i="1" s="1"/>
  <c r="B471" i="1" s="1"/>
  <c r="B472" i="1" s="1"/>
  <c r="B475" i="1" s="1"/>
  <c r="B476" i="1" s="1"/>
  <c r="B477" i="1" s="1"/>
  <c r="B478" i="1" s="1"/>
  <c r="B479" i="1" s="1"/>
  <c r="B480" i="1" s="1"/>
  <c r="B481" i="1" s="1"/>
  <c r="B483" i="1" s="1"/>
  <c r="B484" i="1" s="1"/>
  <c r="B485" i="1" s="1"/>
  <c r="B486" i="1" s="1"/>
  <c r="B487" i="1" s="1"/>
  <c r="B488" i="1" s="1"/>
  <c r="B489" i="1" s="1"/>
  <c r="B492" i="1" s="1"/>
  <c r="B493" i="1" s="1"/>
  <c r="B494" i="1" s="1"/>
  <c r="B499" i="1" s="1"/>
  <c r="B500" i="1" s="1"/>
  <c r="B501" i="1" s="1"/>
  <c r="B502" i="1" s="1"/>
  <c r="B503" i="1" s="1"/>
  <c r="B506" i="1" s="1"/>
  <c r="B507" i="1" s="1"/>
  <c r="B508" i="1" s="1"/>
  <c r="B511" i="1" s="1"/>
  <c r="B514" i="1" s="1"/>
  <c r="B517" i="1" s="1"/>
  <c r="B518" i="1" s="1"/>
  <c r="B519" i="1" s="1"/>
  <c r="B524" i="1" s="1"/>
  <c r="B525" i="1" s="1"/>
  <c r="B526" i="1" s="1"/>
  <c r="B527" i="1" s="1"/>
  <c r="B530" i="1" s="1"/>
  <c r="B533" i="1" s="1"/>
  <c r="B536" i="1" s="1"/>
  <c r="B537" i="1" s="1"/>
  <c r="B538" i="1" s="1"/>
  <c r="B539" i="1" s="1"/>
  <c r="B542" i="1" s="1"/>
  <c r="B543" i="1" s="1"/>
  <c r="B544" i="1" s="1"/>
  <c r="B545" i="1" s="1"/>
  <c r="B550" i="1" s="1"/>
  <c r="B551" i="1" s="1"/>
  <c r="B552" i="1" s="1"/>
  <c r="B553" i="1" s="1"/>
  <c r="B554" i="1" s="1"/>
  <c r="B555" i="1" s="1"/>
  <c r="B556" i="1" s="1"/>
  <c r="B559" i="1" s="1"/>
  <c r="B560" i="1" s="1"/>
  <c r="B561" i="1" s="1"/>
  <c r="B565" i="1" s="1"/>
  <c r="B566" i="1" s="1"/>
  <c r="B567" i="1" s="1"/>
  <c r="B570" i="1" s="1"/>
  <c r="B573" i="1" s="1"/>
  <c r="B578" i="1" s="1"/>
  <c r="B579" i="1" s="1"/>
  <c r="B580" i="1" s="1"/>
  <c r="B581" i="1" s="1"/>
  <c r="B582" i="1" s="1"/>
  <c r="B584" i="1" s="1"/>
  <c r="B587" i="1" s="1"/>
  <c r="B592" i="1" s="1"/>
  <c r="B596" i="1" s="1"/>
  <c r="B601" i="1" s="1"/>
  <c r="B602" i="1" s="1"/>
  <c r="B603" i="1" s="1"/>
  <c r="B604" i="1" s="1"/>
  <c r="B605" i="1" s="1"/>
  <c r="B606" i="1" s="1"/>
  <c r="B607" i="1" s="1"/>
  <c r="B608" i="1" s="1"/>
  <c r="B609" i="1" s="1"/>
  <c r="B610" i="1" s="1"/>
  <c r="B611" i="1" s="1"/>
  <c r="B612" i="1" s="1"/>
  <c r="B613" i="1" s="1"/>
  <c r="B614" i="1" s="1"/>
  <c r="B615" i="1" s="1"/>
  <c r="B616" i="1" s="1"/>
  <c r="B617" i="1" s="1"/>
  <c r="B618"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63" i="1" s="1"/>
  <c r="B668" i="1" s="1"/>
  <c r="B669" i="1" s="1"/>
  <c r="B670" i="1" s="1"/>
  <c r="B671" i="1" s="1"/>
  <c r="B672" i="1" s="1"/>
  <c r="B673" i="1" s="1"/>
  <c r="B674" i="1" s="1"/>
  <c r="B675" i="1" s="1"/>
  <c r="B679" i="1" s="1"/>
  <c r="B680" i="1" s="1"/>
  <c r="B681" i="1" s="1"/>
  <c r="B682" i="1" s="1"/>
  <c r="B683" i="1" s="1"/>
  <c r="B687" i="1" s="1"/>
  <c r="B691" i="1" s="1"/>
  <c r="B692" i="1" s="1"/>
  <c r="B693" i="1" s="1"/>
  <c r="B696" i="1" s="1"/>
  <c r="B697" i="1" s="1"/>
  <c r="B698" i="1" s="1"/>
  <c r="B699" i="1" s="1"/>
  <c r="B700" i="1" s="1"/>
  <c r="B701" i="1" s="1"/>
  <c r="B702" i="1" s="1"/>
  <c r="B703" i="1" s="1"/>
  <c r="B706" i="1" s="1"/>
  <c r="B707" i="1" s="1"/>
  <c r="B710" i="1" s="1"/>
  <c r="B713" i="1" s="1"/>
  <c r="B714" i="1" s="1"/>
  <c r="B715" i="1" s="1"/>
  <c r="B716" i="1" s="1"/>
  <c r="B719" i="1" s="1"/>
  <c r="B722" i="1" s="1"/>
  <c r="B725" i="1" s="1"/>
  <c r="B728" i="1" s="1"/>
  <c r="B729" i="1" s="1"/>
  <c r="B732" i="1" s="1"/>
  <c r="B733" i="1" s="1"/>
  <c r="B734" i="1" s="1"/>
  <c r="B737" i="1" s="1"/>
  <c r="B742" i="1" s="1"/>
  <c r="B745" i="1" s="1"/>
  <c r="B748" i="1" s="1"/>
  <c r="B751" i="1" s="1"/>
  <c r="B752" i="1" s="1"/>
  <c r="B753" i="1" s="1"/>
  <c r="B754" i="1" s="1"/>
  <c r="B757" i="1" s="1"/>
  <c r="B760" i="1" s="1"/>
  <c r="B761" i="1" s="1"/>
  <c r="B762" i="1" s="1"/>
  <c r="B763" i="1" s="1"/>
  <c r="B764" i="1" s="1"/>
  <c r="B765" i="1" s="1"/>
  <c r="B766" i="1" s="1"/>
  <c r="B767" i="1" s="1"/>
  <c r="B768" i="1" s="1"/>
  <c r="B770" i="1" s="1"/>
  <c r="B771" i="1" s="1"/>
  <c r="B772" i="1" s="1"/>
  <c r="B773" i="1" s="1"/>
  <c r="B774" i="1" s="1"/>
  <c r="B775" i="1" s="1"/>
  <c r="B777" i="1" s="1"/>
  <c r="B778" i="1" s="1"/>
  <c r="B779" i="1" s="1"/>
  <c r="B780" i="1" s="1"/>
  <c r="B781" i="1" s="1"/>
  <c r="B782" i="1" s="1"/>
  <c r="B786" i="1" s="1"/>
  <c r="B787" i="1" s="1"/>
  <c r="B788" i="1" s="1"/>
  <c r="B791" i="1" s="1"/>
  <c r="B792" i="1" s="1"/>
  <c r="B795" i="1" s="1"/>
  <c r="B798" i="1" s="1"/>
  <c r="B801" i="1" s="1"/>
  <c r="B802" i="1" s="1"/>
  <c r="B803" i="1" s="1"/>
  <c r="B804" i="1" s="1"/>
  <c r="B805" i="1" s="1"/>
  <c r="B806" i="1" s="1"/>
  <c r="B807" i="1" s="1"/>
  <c r="B810" i="1" s="1"/>
  <c r="B813" i="1" s="1"/>
  <c r="B814" i="1" s="1"/>
  <c r="B815" i="1" s="1"/>
  <c r="B818" i="1" s="1"/>
  <c r="B819" i="1" s="1"/>
  <c r="B820" i="1" s="1"/>
  <c r="B827" i="1" s="1"/>
  <c r="B828" i="1" s="1"/>
  <c r="B831" i="1" s="1"/>
  <c r="B832" i="1" s="1"/>
  <c r="B833" i="1" s="1"/>
  <c r="B836" i="1" s="1"/>
  <c r="B839" i="1" s="1"/>
  <c r="B842" i="1" s="1"/>
  <c r="B843" i="1" s="1"/>
  <c r="B844" i="1" s="1"/>
  <c r="B847" i="1" s="1"/>
  <c r="B848" i="1" s="1"/>
  <c r="B849" i="1" s="1"/>
  <c r="B850" i="1" s="1"/>
  <c r="B853" i="1" s="1"/>
  <c r="B856"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4" i="1" s="1"/>
  <c r="B885" i="1" s="1"/>
  <c r="B886" i="1" s="1"/>
  <c r="B887" i="1" s="1"/>
  <c r="B888" i="1" s="1"/>
  <c r="B889" i="1" s="1"/>
  <c r="B890" i="1" s="1"/>
  <c r="B891" i="1" s="1"/>
  <c r="B892" i="1" s="1"/>
  <c r="B893" i="1" s="1"/>
  <c r="B894" i="1" s="1"/>
  <c r="B895" i="1" s="1"/>
  <c r="B896" i="1" s="1"/>
  <c r="B897" i="1" s="1"/>
  <c r="B898" i="1" s="1"/>
  <c r="B899" i="1" s="1"/>
  <c r="B900" i="1" s="1"/>
  <c r="B901" i="1" s="1"/>
  <c r="B902" i="1" s="1"/>
  <c r="B905" i="1" s="1"/>
  <c r="B906" i="1" s="1"/>
  <c r="B907" i="1" s="1"/>
  <c r="B908" i="1" s="1"/>
  <c r="B909" i="1" s="1"/>
  <c r="B910" i="1" s="1"/>
  <c r="B911" i="1" s="1"/>
  <c r="B912" i="1" s="1"/>
  <c r="B913" i="1" s="1"/>
  <c r="B914" i="1" s="1"/>
  <c r="B915" i="1" s="1"/>
  <c r="B916" i="1" s="1"/>
  <c r="B917" i="1" s="1"/>
  <c r="B918" i="1" s="1"/>
  <c r="B919" i="1" s="1"/>
  <c r="B920" i="1" s="1"/>
  <c r="B921" i="1" s="1"/>
  <c r="B922" i="1" s="1"/>
  <c r="B925" i="1" s="1"/>
  <c r="B926" i="1" s="1"/>
  <c r="B927" i="1" s="1"/>
  <c r="B930" i="1" s="1"/>
  <c r="B931" i="1" s="1"/>
  <c r="B932" i="1" s="1"/>
  <c r="B933" i="1" s="1"/>
  <c r="B934" i="1" s="1"/>
  <c r="B937" i="1" s="1"/>
  <c r="B938" i="1" s="1"/>
  <c r="B941" i="1" s="1"/>
  <c r="B942" i="1" s="1"/>
  <c r="B943" i="1" s="1"/>
  <c r="B944" i="1" s="1"/>
  <c r="B945" i="1" s="1"/>
  <c r="B946" i="1" s="1"/>
  <c r="B947" i="1" s="1"/>
  <c r="B950" i="1" s="1"/>
  <c r="B951" i="1" s="1"/>
  <c r="B952" i="1" s="1"/>
  <c r="B955" i="1" s="1"/>
  <c r="B958" i="1" s="1"/>
  <c r="B959" i="1" s="1"/>
  <c r="B960" i="1" s="1"/>
  <c r="B961" i="1" s="1"/>
  <c r="B962" i="1" s="1"/>
  <c r="B963" i="1" s="1"/>
  <c r="B964" i="1" s="1"/>
  <c r="B965" i="1" s="1"/>
  <c r="B966" i="1" s="1"/>
  <c r="B967" i="1" s="1"/>
  <c r="B968" i="1" s="1"/>
  <c r="B975" i="1" s="1"/>
  <c r="B978" i="1" s="1"/>
  <c r="B979" i="1" s="1"/>
  <c r="B980" i="1" s="1"/>
  <c r="B981" i="1" s="1"/>
  <c r="B984" i="1" s="1"/>
  <c r="B985" i="1" s="1"/>
  <c r="B986" i="1" s="1"/>
  <c r="B987" i="1" s="1"/>
  <c r="B988" i="1" s="1"/>
  <c r="B989" i="1" s="1"/>
  <c r="B992" i="1" s="1"/>
  <c r="B993" i="1" s="1"/>
  <c r="B994" i="1" s="1"/>
  <c r="B995" i="1" s="1"/>
  <c r="B996" i="1" s="1"/>
  <c r="B999" i="1" s="1"/>
  <c r="B1000" i="1" s="1"/>
  <c r="B1001" i="1" s="1"/>
  <c r="B1006" i="1" s="1"/>
  <c r="B1009" i="1" s="1"/>
  <c r="B1010" i="1" s="1"/>
  <c r="B1013" i="1" s="1"/>
  <c r="B1016" i="1" s="1"/>
  <c r="B1019" i="1" s="1"/>
  <c r="B1020" i="1" s="1"/>
  <c r="B1025" i="1" s="1"/>
  <c r="B1028" i="1" s="1"/>
  <c r="B1031" i="1" s="1"/>
  <c r="B1036" i="1" l="1"/>
  <c r="B1037" i="1" s="1"/>
  <c r="B1038" i="1" s="1"/>
  <c r="B1041" i="1" s="1"/>
  <c r="B1042" i="1" s="1"/>
  <c r="B1045" i="1" s="1"/>
  <c r="B1048" i="1" s="1"/>
  <c r="B1051" i="1" s="1"/>
  <c r="B1052" i="1" s="1"/>
  <c r="B1053" i="1" s="1"/>
  <c r="B1056" i="1" s="1"/>
  <c r="B1057" i="1" s="1"/>
  <c r="B1058" i="1" s="1"/>
  <c r="B1059" i="1" s="1"/>
  <c r="B1060" i="1" s="1"/>
  <c r="B1061" i="1" s="1"/>
  <c r="B1064" i="1" s="1"/>
  <c r="B1065" i="1" s="1"/>
  <c r="B1066" i="1" s="1"/>
  <c r="B1069" i="1" s="1"/>
  <c r="B1070" i="1" s="1"/>
  <c r="B1071" i="1" s="1"/>
  <c r="B1073" i="1" s="1"/>
  <c r="B1074" i="1" s="1"/>
  <c r="B1075" i="1" s="1"/>
  <c r="B1078" i="1" s="1"/>
  <c r="B1079" i="1" s="1"/>
  <c r="B1082" i="1" s="1"/>
  <c r="B1083" i="1" s="1"/>
  <c r="B1084" i="1" s="1"/>
  <c r="B1085" i="1" s="1"/>
  <c r="B1090" i="1" s="1"/>
  <c r="B1093" i="1" s="1"/>
  <c r="B1094" i="1" s="1"/>
  <c r="B1095" i="1" s="1"/>
  <c r="B1096" i="1" s="1"/>
  <c r="B1099" i="1" s="1"/>
  <c r="B1100" i="1" s="1"/>
  <c r="B1101" i="1" s="1"/>
  <c r="B1104" i="1" s="1"/>
  <c r="B1107" i="1" s="1"/>
  <c r="B1110" i="1" s="1"/>
  <c r="B1113" i="1" s="1"/>
  <c r="B1115" i="1" s="1"/>
  <c r="B1116" i="1" s="1"/>
  <c r="B1117" i="1" s="1"/>
  <c r="B1120" i="1" s="1"/>
  <c r="B1123" i="1" s="1"/>
  <c r="B1124" i="1" s="1"/>
  <c r="B1125" i="1" s="1"/>
  <c r="B1126" i="1" s="1"/>
  <c r="B1127" i="1" s="1"/>
  <c r="B1134" i="1" s="1"/>
  <c r="B1137" i="1" s="1"/>
  <c r="B1140" i="1" s="1"/>
  <c r="B1143" i="1" s="1"/>
  <c r="B1146" i="1" s="1"/>
  <c r="B1149" i="1" s="1"/>
  <c r="B1150" i="1" s="1"/>
  <c r="B1151" i="1" s="1"/>
  <c r="B1156" i="1" s="1"/>
  <c r="B1159" i="1" s="1"/>
  <c r="B1162" i="1" s="1"/>
  <c r="B1163" i="1" s="1"/>
  <c r="B1164" i="1" s="1"/>
  <c r="B1165" i="1" s="1"/>
  <c r="B1166" i="1" s="1"/>
  <c r="B1171" i="1" s="1"/>
  <c r="B1174" i="1" s="1"/>
  <c r="B1179" i="1" s="1"/>
  <c r="B1180" i="1" s="1"/>
  <c r="B1183" i="1" s="1"/>
  <c r="B1184" i="1" s="1"/>
  <c r="B1187" i="1" s="1"/>
  <c r="B1188" i="1" s="1"/>
  <c r="B1191" i="1" s="1"/>
  <c r="B1194" i="1" s="1"/>
  <c r="B1195" i="1" s="1"/>
  <c r="B1196" i="1" s="1"/>
  <c r="B1197" i="1" s="1"/>
  <c r="B1202" i="1" s="1"/>
  <c r="B1205" i="1" s="1"/>
  <c r="B1206" i="1" s="1"/>
  <c r="B1207" i="1" s="1"/>
  <c r="B1208" i="1" s="1"/>
  <c r="B1212" i="1" s="1"/>
  <c r="B1217" i="1" s="1"/>
  <c r="B1218" i="1" s="1"/>
  <c r="B1219" i="1" s="1"/>
  <c r="B38" i="3"/>
  <c r="B1224" i="1" l="1"/>
  <c r="B1225" i="1" s="1"/>
  <c r="B1226" i="1" s="1"/>
  <c r="B1227" i="1" s="1"/>
  <c r="B1228" i="1" s="1"/>
  <c r="B1229" i="1" s="1"/>
  <c r="B1230" i="1" s="1"/>
  <c r="B1231" i="1" s="1"/>
  <c r="B1234" i="1" s="1"/>
  <c r="B1237" i="1" s="1"/>
  <c r="B1238" i="1" s="1"/>
  <c r="B1241" i="1" s="1"/>
  <c r="B1244" i="1" s="1"/>
  <c r="B1247" i="1" s="1"/>
  <c r="B1248" i="1" s="1"/>
  <c r="B1249" i="1" s="1"/>
  <c r="B1250" i="1" s="1"/>
  <c r="B1251" i="1" s="1"/>
  <c r="B1252" i="1" s="1"/>
  <c r="B1255" i="1" s="1"/>
  <c r="B1256" i="1" s="1"/>
  <c r="B1257" i="1" s="1"/>
</calcChain>
</file>

<file path=xl/sharedStrings.xml><?xml version="1.0" encoding="utf-8"?>
<sst xmlns="http://schemas.openxmlformats.org/spreadsheetml/2006/main" count="2670" uniqueCount="1104">
  <si>
    <t>CONSTRUCTION COST ESTIMATE BREAKDOWN</t>
  </si>
  <si>
    <t>ITEM DESCRIPTION</t>
  </si>
  <si>
    <t>LINE
TOTAL</t>
  </si>
  <si>
    <t>LINE
NO.</t>
  </si>
  <si>
    <t>UNIT OF
MEASURE</t>
  </si>
  <si>
    <t>LABOR
HOURS</t>
  </si>
  <si>
    <t>GENERAL REQUIREMENTS</t>
  </si>
  <si>
    <t>EXISTING CONDITIONS</t>
  </si>
  <si>
    <t>CONCRETE</t>
  </si>
  <si>
    <t>METALS</t>
  </si>
  <si>
    <t>WOOD, PLASTICS AND COMPOSITES</t>
  </si>
  <si>
    <t>THERMAL AND MOISTURE PROTECTION</t>
  </si>
  <si>
    <t>OPENINGS</t>
  </si>
  <si>
    <t>FINISHES</t>
  </si>
  <si>
    <t>TOTAL COST</t>
  </si>
  <si>
    <t>UNIT PRICE</t>
  </si>
  <si>
    <t>LABOR</t>
  </si>
  <si>
    <t>MATERIAL</t>
  </si>
  <si>
    <t xml:space="preserve">QUANTITY </t>
  </si>
  <si>
    <t>UNIT LABOR HOUR</t>
  </si>
  <si>
    <t>SPECIALTIES</t>
  </si>
  <si>
    <t>PLUMBING</t>
  </si>
  <si>
    <t>ELECTRICAL</t>
  </si>
  <si>
    <t>EARTHWORK</t>
  </si>
  <si>
    <t>PROJECT LOCATION</t>
  </si>
  <si>
    <t>HEATING, VENTILATION AND AIR CONDITIONING (HVAC)</t>
  </si>
  <si>
    <t>TOTAL MATERIAL COST</t>
  </si>
  <si>
    <t>TOTAL LABOR COST</t>
  </si>
  <si>
    <t>SUBTOTAL</t>
  </si>
  <si>
    <t>SALES TAX</t>
  </si>
  <si>
    <t>LABOR BURDEN</t>
  </si>
  <si>
    <t>BONDING</t>
  </si>
  <si>
    <t xml:space="preserve">CONTINGENCY / WASTAGE </t>
  </si>
  <si>
    <t>PROPOSED PROJECT AMOUNT</t>
  </si>
  <si>
    <t>SCOPE OF WORK</t>
  </si>
  <si>
    <t>DATE</t>
  </si>
  <si>
    <t>MAT. FAC.</t>
  </si>
  <si>
    <t>LAB. FAC.</t>
  </si>
  <si>
    <t>OVERHEAD &amp; PROFIT</t>
  </si>
  <si>
    <t>TOTAL MANHOURS</t>
  </si>
  <si>
    <t>DIV. 01</t>
  </si>
  <si>
    <t>DIV. 02</t>
  </si>
  <si>
    <t>DIV. 03</t>
  </si>
  <si>
    <t>DIV. 05</t>
  </si>
  <si>
    <t>DIV. 06</t>
  </si>
  <si>
    <t>DIV. 07</t>
  </si>
  <si>
    <t>DIV. 08</t>
  </si>
  <si>
    <t>DIV. 09</t>
  </si>
  <si>
    <t>DIV. 10</t>
  </si>
  <si>
    <t>DIV. 11</t>
  </si>
  <si>
    <t>DIV. 12</t>
  </si>
  <si>
    <t>DIV. 22</t>
  </si>
  <si>
    <t>DIV. 23</t>
  </si>
  <si>
    <t>DIV. 26</t>
  </si>
  <si>
    <t>DIV. 31</t>
  </si>
  <si>
    <t>DWG REF./
CSI SEC.</t>
  </si>
  <si>
    <t>CREW</t>
  </si>
  <si>
    <t>LABOR RATE</t>
  </si>
  <si>
    <t>PROJECT NAME</t>
  </si>
  <si>
    <t>PERMITS, SITE SUPERVISION, FINAL CLEANUP &amp; DUMPSTER</t>
  </si>
  <si>
    <t>LS</t>
  </si>
  <si>
    <t>SUBTOTAL MATERIAL</t>
  </si>
  <si>
    <t>SUBTOTAL LABOR</t>
  </si>
  <si>
    <t>FURNISHINGS</t>
  </si>
  <si>
    <t>SUMMARY</t>
  </si>
  <si>
    <t>TRADE
TOTAL W/ S.TAX, O&amp;P</t>
  </si>
  <si>
    <t>CSI DIV.</t>
  </si>
  <si>
    <t>DESCRIPTION</t>
  </si>
  <si>
    <t>MATERIAL COST</t>
  </si>
  <si>
    <t>LABOR
COST</t>
  </si>
  <si>
    <t>TOTAL
COST</t>
  </si>
  <si>
    <t>LINE NO.</t>
  </si>
  <si>
    <t>SF</t>
  </si>
  <si>
    <t>CY</t>
  </si>
  <si>
    <t>LF</t>
  </si>
  <si>
    <t>STUDS</t>
  </si>
  <si>
    <t>INTERIOR TRIM</t>
  </si>
  <si>
    <t>SEALANT</t>
  </si>
  <si>
    <t>INSULATION</t>
  </si>
  <si>
    <t>EA</t>
  </si>
  <si>
    <t>DOORS</t>
  </si>
  <si>
    <t>INTERIOR DOOR</t>
  </si>
  <si>
    <t>HARDWARE</t>
  </si>
  <si>
    <t>FLOORING</t>
  </si>
  <si>
    <t>BASE</t>
  </si>
  <si>
    <t>TRANSITION</t>
  </si>
  <si>
    <t>WALL FINISH</t>
  </si>
  <si>
    <t>GYPSUM BOARD</t>
  </si>
  <si>
    <t xml:space="preserve">WALLS </t>
  </si>
  <si>
    <t xml:space="preserve">5/8" THK. GYPSUM BOARD AT WALLS </t>
  </si>
  <si>
    <t>NO. OF SHEETS</t>
  </si>
  <si>
    <t xml:space="preserve">ADHESIVE </t>
  </si>
  <si>
    <t>TUBES</t>
  </si>
  <si>
    <t>ROLLS</t>
  </si>
  <si>
    <t>DRYWALL SCREWS</t>
  </si>
  <si>
    <t>LBS</t>
  </si>
  <si>
    <t>MUD PLASTER</t>
  </si>
  <si>
    <t xml:space="preserve">5/8" THK. MOISTURE BOARD AT WALLS </t>
  </si>
  <si>
    <t xml:space="preserve">5/8" THK. CEMENTITUOUS BACKER BOARD AT WALLS </t>
  </si>
  <si>
    <t xml:space="preserve">CEILING </t>
  </si>
  <si>
    <t>5/8" THK. GYPSUM BOARD AT CEILING</t>
  </si>
  <si>
    <t>PAINT</t>
  </si>
  <si>
    <t>COLD FORMED METAL FRAMING</t>
  </si>
  <si>
    <t>TOP RUNNERS</t>
  </si>
  <si>
    <t>BOTTOM RUNNERS</t>
  </si>
  <si>
    <t>TOILET ACCESSORIES</t>
  </si>
  <si>
    <t>SIGNAGES</t>
  </si>
  <si>
    <t>COUNTERTOP</t>
  </si>
  <si>
    <t>PLUMBING FIXTURES</t>
  </si>
  <si>
    <t>PIPING</t>
  </si>
  <si>
    <t>LIGHTING FIXTURES</t>
  </si>
  <si>
    <t>DUCT WORK</t>
  </si>
  <si>
    <t>1.5" FIBERGLASS INSUALTION</t>
  </si>
  <si>
    <t>EXCAVATION</t>
  </si>
  <si>
    <t>EXCAVATION PROVIDED FOR FOOTING</t>
  </si>
  <si>
    <t>BACKFILL</t>
  </si>
  <si>
    <t>BACKFILL PROVIDED FOR FOOTING</t>
  </si>
  <si>
    <t>HAULOFF/IMPORT</t>
  </si>
  <si>
    <t>HAULING OFF EXTRA MATERIAL</t>
  </si>
  <si>
    <t>FOOTING</t>
  </si>
  <si>
    <t>FORMWORK</t>
  </si>
  <si>
    <t>FORMWORK REQUIRED</t>
  </si>
  <si>
    <t>SLAB ON GRADE</t>
  </si>
  <si>
    <t>FINISH CARPENTRY &amp; MILLWORK</t>
  </si>
  <si>
    <t>EQUIPMENT</t>
  </si>
  <si>
    <t>TAPING</t>
  </si>
  <si>
    <t>COLUMN</t>
  </si>
  <si>
    <t xml:space="preserve">SHEATHING </t>
  </si>
  <si>
    <t>CONNECTION</t>
  </si>
  <si>
    <t>CURB</t>
  </si>
  <si>
    <t>ACOUSTICAL CEILING</t>
  </si>
  <si>
    <t>FIRE EXTINGUISHER</t>
  </si>
  <si>
    <t>VALVES</t>
  </si>
  <si>
    <t>DOMESTIC PIPING</t>
  </si>
  <si>
    <t>PIPE MATERIAL: COPPER TYPE L</t>
  </si>
  <si>
    <t>ALLOWANCE</t>
  </si>
  <si>
    <t>26 GAUGE METAL DUCTWORK</t>
  </si>
  <si>
    <t>FLEXIBLE DUCTWORK</t>
  </si>
  <si>
    <t>AIR DISTRIBUTION DEVICES</t>
  </si>
  <si>
    <t>EXHAUST FAN</t>
  </si>
  <si>
    <t>MISC.</t>
  </si>
  <si>
    <t>RECEPTACLES</t>
  </si>
  <si>
    <t>SWITCHES</t>
  </si>
  <si>
    <t>DISCONNECT SWITCH</t>
  </si>
  <si>
    <t>OUTLET</t>
  </si>
  <si>
    <t>JUNCTION BOX</t>
  </si>
  <si>
    <t>A1.1</t>
  </si>
  <si>
    <t>S111-S131</t>
  </si>
  <si>
    <t>A0.0</t>
  </si>
  <si>
    <t>DIV. 32</t>
  </si>
  <si>
    <t>EXTERIOR IMPROVEMENT</t>
  </si>
  <si>
    <t>WALL PAINT</t>
  </si>
  <si>
    <t>CEILING PAINT</t>
  </si>
  <si>
    <t>DEMOLITION</t>
  </si>
  <si>
    <t>There was a clash between the graphics drawing and the architectural drawing in the finished schedule. We followed the graphics design drawing because it was the latest.</t>
  </si>
  <si>
    <t>SUBTOTAL
LAB. HRS.</t>
  </si>
  <si>
    <t>TOTAL
LABOR HOURS</t>
  </si>
  <si>
    <t>TOTAL PROJECT COST AND MANHOURS</t>
  </si>
  <si>
    <t>COMPLETE GC</t>
  </si>
  <si>
    <t>CHECK DESK</t>
  </si>
  <si>
    <t>1-8/A708</t>
  </si>
  <si>
    <t>TRANSACTION BAR</t>
  </si>
  <si>
    <t>1'4"Dx3'4"H PLASTIC LAMINATE UPPER CABINET W/ (2) 3/4" ADJUSTABLE PLYWOOD SHELVES &amp; CABINET PULL
FINISH: PL-1</t>
  </si>
  <si>
    <t>4'8-1/2"L x 2'D x 3'6"H PLASTIC LAMINATE CHECK DESK
FINISH: PL-5, PL-6</t>
  </si>
  <si>
    <t>BLOCKING</t>
  </si>
  <si>
    <t>9-1/2"Dx3'9"H BASE CABINET W/ HINGED P-LAM CABINET DOOR, ADJUSTABLE SHELF, 1/2" PLYWOOD
FINISH: PL-4</t>
  </si>
  <si>
    <t>1'2"Dx1'11"L PENCIL DRAWER</t>
  </si>
  <si>
    <t>PL-4 FINISH</t>
  </si>
  <si>
    <t>PL-5 FINISH</t>
  </si>
  <si>
    <t>MOCKETT MAX6-94 18" BRUSH GROMMET, SATIN FINISH</t>
  </si>
  <si>
    <t>RICHELIEU PC2026Z869 SQUARE GROMMET</t>
  </si>
  <si>
    <t>A700, A702</t>
  </si>
  <si>
    <t>BACK COUNTER</t>
  </si>
  <si>
    <t>2'Dx2'10"H BASE CABINET W/ (2) SEPARATE DRAWERS &amp; (2) CABINET PULLS
FINISH: PL-1</t>
  </si>
  <si>
    <t>11"D PLASTIC LAMINATE SHELF - PL1</t>
  </si>
  <si>
    <t>2'Dx2'10"H (2) DRAWER BASE CABINET W/ CABINET PULLS
FINISH: PL-1</t>
  </si>
  <si>
    <t>2'Dx2'10"H (5) DRAWER BASE CABINET W/ CABINET PULLS
FINISH: PL-1</t>
  </si>
  <si>
    <t>PL-1 FINISH</t>
  </si>
  <si>
    <t>A701</t>
  </si>
  <si>
    <t>1'Dx2'8"H (2) DRAWER BASE CABINET W/ CABINET PULL - PL1 FINSIH</t>
  </si>
  <si>
    <t>1'D PLASTIC LAMINATE SHELF - PL1</t>
  </si>
  <si>
    <t>PL1 COUNTERTOP FINISH OVER 3/4"THK. PLYWOOD</t>
  </si>
  <si>
    <t>PL1 FINISH</t>
  </si>
  <si>
    <t>LIBRARY MILWWORK</t>
  </si>
  <si>
    <t>SERVICE COUNTER</t>
  </si>
  <si>
    <t>1'10"Dx2'8"H BASE CABINET W/ CABINET PULL - PL1 FINISH</t>
  </si>
  <si>
    <t>1'11"Dx2'8"H TRASH CABINET W/ CABINET PULL - PL1</t>
  </si>
  <si>
    <t>1'11"Dx2'8"H (3) DRAWER BASE CABINET W/ CABINET PULL - PL1</t>
  </si>
  <si>
    <t>1'Dx3'H UPPER CABINET W/ (2) ADJUSTABLE SHELF &amp; CABINET PULL - PL1</t>
  </si>
  <si>
    <t>A703</t>
  </si>
  <si>
    <t>1'6"D ADJUSTABLE WHITE MELAMINE SHELVES ON HEAVY DUTY BRACKET</t>
  </si>
  <si>
    <t>A410</t>
  </si>
  <si>
    <t>JANITOR CLOSET</t>
  </si>
  <si>
    <t>2'8"Wx1'2"Dx6'8"H EMPLOYEE LOCKER</t>
  </si>
  <si>
    <t>LOUNGE BOOTH</t>
  </si>
  <si>
    <t>2'6"Wx3'Dx2'5"H TABLE W/ PL-5 TOP FINISH
- 3"DIA LEG SUPPORT, DOUG MOCKETT, 3"DIAx28-1/2"H W/ PLATE LEVELER, TL28P-3
- 1/4"x24"x16" STEEL PLATE SUPPORT</t>
  </si>
  <si>
    <t>3'Wx2'Dx3'2"H SEAING W/
- PL1 FINISH IN 3/4" PLYWOOD
- 1/2" WHITE MELAMINE BACKER FOR FOAM HOOK &amp; LOOP
- REMOVEABLE CUSHION (BACK &amp; SEAT) COMMERCIAL GRADE HIGH DENSITY URETHANE FOAM BACK SEAT FABRIC</t>
  </si>
  <si>
    <t>5-8/A704</t>
  </si>
  <si>
    <t>EMPLOYEE LOUNGE</t>
  </si>
  <si>
    <t>1'6"H, 3/4"THK. MDF REMOVEABLE PANEL W/ 6"H FACE</t>
  </si>
  <si>
    <t>2'Dx2'8"H TRASH BASE CABINET W/ CABINET PULL - PL1 FINISH</t>
  </si>
  <si>
    <t>2'Dx2'8"H (3) DRAWER BASE CABINET W/ CABINET PULL - PL1 FINISH</t>
  </si>
  <si>
    <t>1'Dx2'6"H UPPER CABINET W/ (2) ADJUSTABLE SHELF W/ CABINET PULL - PL1</t>
  </si>
  <si>
    <t>A705</t>
  </si>
  <si>
    <t>PL2 COUNTERTOP FINISH O/ 1"THK. PLYWOOD</t>
  </si>
  <si>
    <t>WORK ROOM</t>
  </si>
  <si>
    <t>PL2 COUNTERTOP FINISH O/ 1-1/2"THK. PLYWOOD W/ SUPPORT BRACKET</t>
  </si>
  <si>
    <t xml:space="preserve">PL2 COUNTERTOP FINISH O/ 1-1/2"THK. PLYWOOD </t>
  </si>
  <si>
    <t xml:space="preserve">PL2 4"H BACKSPLASH FINISH O/ 3/4"THK. PLYWOOD </t>
  </si>
  <si>
    <r>
      <t xml:space="preserve">2'Dx2'8"H BASE CABINET W/ DRAWER, ADJUSTABLE SHELF &amp; CABINET PULL - </t>
    </r>
    <r>
      <rPr>
        <b/>
        <sz val="10"/>
        <rFont val="Calibri"/>
        <family val="2"/>
        <scheme val="minor"/>
      </rPr>
      <t>PL1</t>
    </r>
  </si>
  <si>
    <r>
      <t xml:space="preserve">2'Dx3'4"H BASE CABINET W/ (2) ADJUSTABLE SHELVES &amp; CABINET PULL - </t>
    </r>
    <r>
      <rPr>
        <b/>
        <sz val="10"/>
        <rFont val="Calibri"/>
        <family val="2"/>
        <scheme val="minor"/>
      </rPr>
      <t>PL1</t>
    </r>
  </si>
  <si>
    <r>
      <t xml:space="preserve">2'Dx3'4"H DRAWER BASE CABINET W/ CABINET PULL - </t>
    </r>
    <r>
      <rPr>
        <b/>
        <sz val="10"/>
        <rFont val="Calibri"/>
        <family val="2"/>
        <scheme val="minor"/>
      </rPr>
      <t>PL1</t>
    </r>
  </si>
  <si>
    <r>
      <t xml:space="preserve">2'Dx3'4"H TRASH BASE CABINET - </t>
    </r>
    <r>
      <rPr>
        <b/>
        <sz val="10"/>
        <rFont val="Calibri"/>
        <family val="2"/>
        <scheme val="minor"/>
      </rPr>
      <t>PL1</t>
    </r>
  </si>
  <si>
    <r>
      <t xml:space="preserve">1'2"Dx3'H UPPER CABINET W/ (2) ADJUSTABLE SHELVES, CABINET PULL - </t>
    </r>
    <r>
      <rPr>
        <b/>
        <sz val="10"/>
        <rFont val="Calibri"/>
        <family val="2"/>
        <scheme val="minor"/>
      </rPr>
      <t>PL3</t>
    </r>
  </si>
  <si>
    <t>18"D 3/4"THK. WHITE MELAMINE SHELVES ON KV 180 SHELF BRACKET</t>
  </si>
  <si>
    <t>A707, 12/A708</t>
  </si>
  <si>
    <t>PHONE ROOM</t>
  </si>
  <si>
    <t>PL2 COUNTERTOP FINISH O/ 1-1/2"THK. PLYWOOD W/ 21" A&amp;M HYB BRACKET</t>
  </si>
  <si>
    <t>A110, 10,11/A708</t>
  </si>
  <si>
    <t>4"THK. CONCRETE SLAB ON GRADE W/ 6x6 W2.9xW2.9 WIRE MESH O/ 10 MIL VAPOR BARRIER O/ 4"THK. GRAVEL BED</t>
  </si>
  <si>
    <r>
      <t xml:space="preserve">2"THK. POLYSTYRENE XPS INSULATION UNDER SLAB
</t>
    </r>
    <r>
      <rPr>
        <b/>
        <sz val="10"/>
        <rFont val="Calibri"/>
        <family val="2"/>
        <scheme val="minor"/>
      </rPr>
      <t>NOTE:</t>
    </r>
    <r>
      <rPr>
        <sz val="10"/>
        <rFont val="Calibri"/>
        <family val="2"/>
        <scheme val="minor"/>
      </rPr>
      <t xml:space="preserve"> INSULATION DETAIL TAKEN FROM SECTION 1/G003</t>
    </r>
  </si>
  <si>
    <t>JOINT</t>
  </si>
  <si>
    <t>1/2" ISOLATION JOINT</t>
  </si>
  <si>
    <t>CONTINUOUS FOOTING</t>
  </si>
  <si>
    <t>ISOLATED FOOTING</t>
  </si>
  <si>
    <t xml:space="preserve">1" SAW-CUT JOINT </t>
  </si>
  <si>
    <t>2'Wx1'D CONTINUOUS FOOTING W/ (2) #6 BARS</t>
  </si>
  <si>
    <t>3'x3'x1'D ISOLATED FOOTING W/ (4) #4 EACHWAY BARS</t>
  </si>
  <si>
    <t>3'8"x3'8"x1'D ISOLATED FOOTING W/ (5) #4 EACHWAY BARS</t>
  </si>
  <si>
    <t>7'x7'x1'4"D ISOLATED FOOTING W/ (7) #6 EACHWAY BARS</t>
  </si>
  <si>
    <t>6'x6'x1'4"D ISOLATED FOOTING W/ (7) #5 EACHWAY BARS</t>
  </si>
  <si>
    <t>5'x5'x1'2"D ISOLATED FOOTING W/ (5) #5 EACHWAY BARS</t>
  </si>
  <si>
    <t>7'x4'x1'4"D ISOLATED FOOTING W/ (7) #6 TOP &amp; BOTTOM BARS, (5) #6 TOP &amp; BOTTOM BARS</t>
  </si>
  <si>
    <t>5'x10'x1'2"D ISOLATED FOOTING W/ (9) #6 TOP &amp; BOTTOM BARS, (5) #6 TOP &amp; BOTTOM BARS</t>
  </si>
  <si>
    <t>STEM WALL</t>
  </si>
  <si>
    <t>DIV. 04</t>
  </si>
  <si>
    <t>MASONRY</t>
  </si>
  <si>
    <t>S201</t>
  </si>
  <si>
    <t xml:space="preserve">8"THK. CONCRETE STEM WALL W/ #4 BARS @ 10" O.C &amp; #4 DOWEL BAR @ 18" O.C </t>
  </si>
  <si>
    <t xml:space="preserve">10"THK. CONCRETE STEM WALL W/ #4 BARS @ 10" O.C </t>
  </si>
  <si>
    <t>A110</t>
  </si>
  <si>
    <t>CMU</t>
  </si>
  <si>
    <t xml:space="preserve">4"THK. FULLY GROUTED CMU STEM WALL W/ GROUT CAVITY SOLID </t>
  </si>
  <si>
    <t>HSS4x4x1/4 COLUMN</t>
  </si>
  <si>
    <t>HSS5x5x3/8 COLUMN</t>
  </si>
  <si>
    <t>HSS6x6x1/2 COLUMN</t>
  </si>
  <si>
    <t>HSS6x6x3/8 COLUMN</t>
  </si>
  <si>
    <t>HSS7x7x1/2 COLUMN</t>
  </si>
  <si>
    <t>5"x5"x1/4" STEEL BASE PLATE</t>
  </si>
  <si>
    <t>HSS1-1/2"x1-1/2"x3/16" TUBE COLUMN</t>
  </si>
  <si>
    <t>HSS4x4x1/4 BEAM</t>
  </si>
  <si>
    <t>HSS5x5x1/4 BEAM</t>
  </si>
  <si>
    <t>HSS6x2x1/4 BEAM</t>
  </si>
  <si>
    <t>HSS6x4x3/8 BEAM</t>
  </si>
  <si>
    <t>HSS6x6x3/8 BEAM</t>
  </si>
  <si>
    <t>HSS8x2x1/4 BEAM</t>
  </si>
  <si>
    <t>HSS8x3x1/4 BEAM</t>
  </si>
  <si>
    <t>HSS8x6x1/4 BEAM</t>
  </si>
  <si>
    <t>HSS10x6x1/4 BEAM</t>
  </si>
  <si>
    <t>W8x10 BEAM</t>
  </si>
  <si>
    <t>W10x12 BEAM</t>
  </si>
  <si>
    <t>W10x22 BEAM</t>
  </si>
  <si>
    <t>W12x14 BEAM</t>
  </si>
  <si>
    <t>W12x22 BEAM</t>
  </si>
  <si>
    <t>W14x26 BEAM</t>
  </si>
  <si>
    <t>W14x30 BEAM</t>
  </si>
  <si>
    <t>W16x26 BEAM</t>
  </si>
  <si>
    <t>BEAM</t>
  </si>
  <si>
    <t>CHANNEL</t>
  </si>
  <si>
    <t>C5x6.7 CHANNEL</t>
  </si>
  <si>
    <t>C7x9.8 CHANNEL</t>
  </si>
  <si>
    <t>C8x11.5 CHANNEL</t>
  </si>
  <si>
    <t>BRACING/BRIDGING</t>
  </si>
  <si>
    <t>HSS4x4x1/4 DIAGONAL BRACING</t>
  </si>
  <si>
    <t>HSS6x6x1/4 DIAGONAL BRACING</t>
  </si>
  <si>
    <t>L3x3x1/4 HORIZONTAL BRACING</t>
  </si>
  <si>
    <t xml:space="preserve">L2-1/2x2-1/2x1/4 X-TYPE BRIDGING </t>
  </si>
  <si>
    <t>ANGLE</t>
  </si>
  <si>
    <t>L3x3x3/16 ANGLE</t>
  </si>
  <si>
    <t>L4x3x1/4 LLV ANGLE</t>
  </si>
  <si>
    <t xml:space="preserve">L2x2x3/16 ANGLE </t>
  </si>
  <si>
    <t>12KCS2 ROOF JOIST</t>
  </si>
  <si>
    <t>16KCS3 ROOF JOIST</t>
  </si>
  <si>
    <t>18KCS2 ROOF JOIST</t>
  </si>
  <si>
    <t>DECK</t>
  </si>
  <si>
    <t>1-1/2" WIDE RIB TYPE B 22GA. GALVANIZED (G90) ROOF DECK</t>
  </si>
  <si>
    <t>12"x12"x3/4"THK. BASE PLATE</t>
  </si>
  <si>
    <t>14"x14"x1"THK. BASE PLATE</t>
  </si>
  <si>
    <t>15"x18"x3/4"THK. BASE PLATE</t>
  </si>
  <si>
    <t>11"x5-1/2"x3/4"THK. CAP PLATE</t>
  </si>
  <si>
    <t>12"x6-1/2"x3/4"THK. CAP PLATE</t>
  </si>
  <si>
    <t>S203</t>
  </si>
  <si>
    <t>ROOF JOIST</t>
  </si>
  <si>
    <t>S203 - S301</t>
  </si>
  <si>
    <t>S301</t>
  </si>
  <si>
    <t>S203, S301</t>
  </si>
  <si>
    <t>CANOPY FRAMING</t>
  </si>
  <si>
    <t>6" METAL STUD CANOPY FRAMING @ 16" O.C</t>
  </si>
  <si>
    <t>3-5/8" 20 GA. TOP METAL RUNNERS</t>
  </si>
  <si>
    <t>6" 20 GA. TOP METAL RUNNERS</t>
  </si>
  <si>
    <t>3-5/8" 20 GA. BOTTOM METAL RUNNERS</t>
  </si>
  <si>
    <t>6" 20 GA. BOTTOM METAL RUNNERS</t>
  </si>
  <si>
    <t>3-1/2"THK. SOUND ATTENUATION BLANKET INSULATION AT WALLS</t>
  </si>
  <si>
    <t>5-1/2"THK. SOUND ATTENUATION BLANKET INSULATION AT WALLS</t>
  </si>
  <si>
    <t>CONTINUOUS ACOUSTIC SEALANT AT WALLS</t>
  </si>
  <si>
    <t>6" 16 GA. TOP METAL RUNNERS</t>
  </si>
  <si>
    <t>6" 16 GA. BOTTOM METAL RUNNERS</t>
  </si>
  <si>
    <t>1/2"THK. PLYWOOD SHEATHING AT BOOTH WALL</t>
  </si>
  <si>
    <t>1/2"THK. PLYWOOD SHEATHING AT EXTERIOR WALL</t>
  </si>
  <si>
    <t>5/8"THK. PLYWOOD SHEATHING AT EXTERIOR WALL</t>
  </si>
  <si>
    <t>5-1/2"THK. BATT INSULATION AT EXTERIOR WALLS</t>
  </si>
  <si>
    <t>8"THK. BATT INSULATION AT EXTERIOR WALLS</t>
  </si>
  <si>
    <t>6" 16 GA. METAL STUDS @ 16" O.C. 
NO. OF STUDS @ 9' HT: 4
NO. OF STUDS @ 12'-3" HT: 7
NO. OF STUDS @ 18'-8" HT: 6</t>
  </si>
  <si>
    <t>8" 16 GA. TOP METAL RUNNERS</t>
  </si>
  <si>
    <t>8" 16 GA. BOTTOM METAL RUNNERS</t>
  </si>
  <si>
    <t>8" 16 GA. METAL STUDS @ 16" O.C. 
NO. OF STUDS @ 1'7" HT: 35
NO. OF STUDS @ 2'7" HT: 29
NO. OF STUDS @ 4' HT: 10
NO. OF STUDS @ 4'7" HT: 73
NO. OF STUDS @ 7'2" HT: 5
NO. OF STUDS @ 12'-9" HT: 68
NO. OF STUDS @ 15'-9" HT: 38</t>
  </si>
  <si>
    <t>1/2" THK. GLASS-MAT SHEATHING AT PARAPET WALL</t>
  </si>
  <si>
    <t>5/8" THK. TYPE X GYPSUM BOARD AT TECH WALLS</t>
  </si>
  <si>
    <t>6" 20 GA. METAL STUDS @ 16" O.C. 
NO. OF STUDS @ 4'-4" HT: 14
NO. OF STUDS @ 12'-6" HT: 50</t>
  </si>
  <si>
    <t>A120, A140</t>
  </si>
  <si>
    <t>A140</t>
  </si>
  <si>
    <t>LADDER</t>
  </si>
  <si>
    <t>1'9"Wx13'4"H ALUMINUM ROOF ACCESS LADDER W/ 
- 1-1/4" SERRATED RUNGS
- 3/16" ALUMINUM WALL BRACKET
- SAFETY POST</t>
  </si>
  <si>
    <t>A110, 3/A450</t>
  </si>
  <si>
    <t>SPECIALITY FRAME</t>
  </si>
  <si>
    <t>1"W PREFINISHED MITERED BLACK ANGLED ALUMINUM VAT FRAME AROUND VAT TERMINAL OPENING</t>
  </si>
  <si>
    <t>REMOTE TELLER TERMINAL</t>
  </si>
  <si>
    <t>SCHLUTER COVE TRIM</t>
  </si>
  <si>
    <t>SCHLUTER TRIM</t>
  </si>
  <si>
    <t>3-5/8" METAL STUD FRAMING @ 16"O.C</t>
  </si>
  <si>
    <t>5/8" THK. GYPSUM BOARD AT CEILING SOFFIT</t>
  </si>
  <si>
    <r>
      <t xml:space="preserve">24"x24" ACOUSTICAL CEILING TILE - </t>
    </r>
    <r>
      <rPr>
        <b/>
        <sz val="10"/>
        <rFont val="Calibri"/>
        <family val="2"/>
        <scheme val="minor"/>
      </rPr>
      <t>ACT1</t>
    </r>
    <r>
      <rPr>
        <sz val="10"/>
        <rFont val="Calibri"/>
        <family val="2"/>
        <scheme val="minor"/>
      </rPr>
      <t xml:space="preserve">
MFR: USG
MODEL: 88135 - MARS HIGH NRC
FINISH: FLAT WHITE 050
ACOUSTICAL CEILING GRID - </t>
    </r>
    <r>
      <rPr>
        <b/>
        <sz val="10"/>
        <rFont val="Calibri"/>
        <family val="2"/>
        <scheme val="minor"/>
      </rPr>
      <t>ACT1</t>
    </r>
    <r>
      <rPr>
        <sz val="10"/>
        <rFont val="Calibri"/>
        <family val="2"/>
        <scheme val="minor"/>
      </rPr>
      <t xml:space="preserve">
SIZE: 2" x 15/16"
MFR: USG
MODEL: DX 15/16" DONN BRAND DX/DXL</t>
    </r>
  </si>
  <si>
    <r>
      <t xml:space="preserve">2"x8" BAFFLE SYSTEM - </t>
    </r>
    <r>
      <rPr>
        <b/>
        <sz val="10"/>
        <rFont val="Calibri"/>
        <family val="2"/>
        <scheme val="minor"/>
      </rPr>
      <t>BAR-1</t>
    </r>
    <r>
      <rPr>
        <sz val="10"/>
        <rFont val="Calibri"/>
        <family val="2"/>
        <scheme val="minor"/>
      </rPr>
      <t xml:space="preserve">
- FURNISHED BY OWNER, INSTALLED BY G.C</t>
    </r>
  </si>
  <si>
    <t>SHADE</t>
  </si>
  <si>
    <r>
      <t xml:space="preserve">CARPET - </t>
    </r>
    <r>
      <rPr>
        <b/>
        <sz val="10"/>
        <rFont val="Calibri"/>
        <family val="2"/>
        <scheme val="minor"/>
      </rPr>
      <t>CR-2</t>
    </r>
    <r>
      <rPr>
        <sz val="10"/>
        <rFont val="Calibri"/>
        <family val="2"/>
        <scheme val="minor"/>
      </rPr>
      <t xml:space="preserve">
SIZE: 12" x 36"
MFR: MOHAWK
MODEL: LICHEN COLLECTION
COLOR: MICRO BLOOM II (GT475) 975 FELTED FRINGE STONE FINISH</t>
    </r>
  </si>
  <si>
    <r>
      <t xml:space="preserve">CARPET - </t>
    </r>
    <r>
      <rPr>
        <b/>
        <sz val="10"/>
        <rFont val="Calibri"/>
        <family val="2"/>
        <scheme val="minor"/>
      </rPr>
      <t>CR-3</t>
    </r>
    <r>
      <rPr>
        <sz val="10"/>
        <rFont val="Calibri"/>
        <family val="2"/>
        <scheme val="minor"/>
      </rPr>
      <t xml:space="preserve">
SIZE: 12" x 36"
MFR: MOHAWK
MODEL: LICHEN COLLECTION
COLOR: MACRO BLOOM II (GT474) 975 FELTED FRINGE FINISH</t>
    </r>
  </si>
  <si>
    <r>
      <t xml:space="preserve">WALK-OFF CARPET - </t>
    </r>
    <r>
      <rPr>
        <b/>
        <sz val="10"/>
        <rFont val="Calibri"/>
        <family val="2"/>
        <scheme val="minor"/>
      </rPr>
      <t>CR-4</t>
    </r>
    <r>
      <rPr>
        <sz val="10"/>
        <rFont val="Calibri"/>
        <family val="2"/>
        <scheme val="minor"/>
      </rPr>
      <t xml:space="preserve">
SIZE: 18" x 36"
MFR: MANNINGTON COMMERCIAL
MODEL: CHARGE
COLOR: STYLE: CHARGE, COLOR: FLUID (32367)</t>
    </r>
  </si>
  <si>
    <r>
      <t xml:space="preserve">CARPET - </t>
    </r>
    <r>
      <rPr>
        <b/>
        <sz val="10"/>
        <rFont val="Calibri"/>
        <family val="2"/>
        <scheme val="minor"/>
      </rPr>
      <t>CR-1</t>
    </r>
    <r>
      <rPr>
        <sz val="10"/>
        <rFont val="Calibri"/>
        <family val="2"/>
        <scheme val="minor"/>
      </rPr>
      <t xml:space="preserve">
SIZE: 12" x 36"
MFR: MOHAWK
MODEL: LICHEN COLLECTION
COLOR: STONE COMMUNITY (GT472) 949 STONE</t>
    </r>
  </si>
  <si>
    <r>
      <t xml:space="preserve">CERAMIC TILE - </t>
    </r>
    <r>
      <rPr>
        <b/>
        <sz val="10"/>
        <rFont val="Calibri"/>
        <family val="2"/>
        <scheme val="minor"/>
      </rPr>
      <t>FT-1</t>
    </r>
    <r>
      <rPr>
        <sz val="10"/>
        <rFont val="Calibri"/>
        <family val="2"/>
        <scheme val="minor"/>
      </rPr>
      <t xml:space="preserve">
SIZE: 24" x 24"
MFR: FLORIDA TILE
MODEL: AVENTIS
COLOR: VELVET</t>
    </r>
  </si>
  <si>
    <r>
      <t xml:space="preserve">LUXURY VINYL TILE - </t>
    </r>
    <r>
      <rPr>
        <b/>
        <sz val="10"/>
        <rFont val="Calibri"/>
        <family val="2"/>
        <scheme val="minor"/>
      </rPr>
      <t>LVT-1</t>
    </r>
    <r>
      <rPr>
        <sz val="10"/>
        <rFont val="Calibri"/>
        <family val="2"/>
        <scheme val="minor"/>
      </rPr>
      <t xml:space="preserve">
SIZE: 25cm x 1m
MFR: INTERFACE
MODEL: ON GRAIN 4.5MM
COLOR: EARTHEN FORMS, COLOR: A03305 BESPOKE TIMBER</t>
    </r>
  </si>
  <si>
    <r>
      <t xml:space="preserve">SEALED CONCRETE - </t>
    </r>
    <r>
      <rPr>
        <b/>
        <sz val="10"/>
        <rFont val="Calibri"/>
        <family val="2"/>
        <scheme val="minor"/>
      </rPr>
      <t>CON-1</t>
    </r>
    <r>
      <rPr>
        <sz val="10"/>
        <rFont val="Calibri"/>
        <family val="2"/>
        <scheme val="minor"/>
      </rPr>
      <t xml:space="preserve">
MFR: BENJAMIN MOORE
MODEL: COROTECH HIGH PERFORMANCE
COLOR: CLEAR</t>
    </r>
  </si>
  <si>
    <r>
      <t xml:space="preserve">ANTI-STATIC MAT - </t>
    </r>
    <r>
      <rPr>
        <b/>
        <sz val="10"/>
        <rFont val="Calibri"/>
        <family val="2"/>
        <scheme val="minor"/>
      </rPr>
      <t>MT-1</t>
    </r>
    <r>
      <rPr>
        <sz val="10"/>
        <rFont val="Calibri"/>
        <family val="2"/>
        <scheme val="minor"/>
      </rPr>
      <t xml:space="preserve">
SIZE: 36" x 48"
MFR: MATS INC.
COLOR: BLACK</t>
    </r>
  </si>
  <si>
    <t>TRANSITION STRIP - FTS-2
MFR: SCHLUTER
MODEL: SCHIENE AE100
COLOR: SATIN ALUMINUM</t>
  </si>
  <si>
    <t>TRANSITION STRIP - FTS-1
MFR: SCHLUTER
MODEL: SCHIENE AE100
COLOR: SATIN ALUMINUM</t>
  </si>
  <si>
    <t>TRANSITION STRIP - FTS-3
MFR: SCHLUTER
MODEL: RENO U AE100
COLOR: SATIN ALUMINUM</t>
  </si>
  <si>
    <t>TRANSITION STRIP - FTS-4
MFR: SCHLUTER
MODEL: RENO-RAMP AERP
COLOR: SATIN ALUMINUM</t>
  </si>
  <si>
    <t>GROUT</t>
  </si>
  <si>
    <t>GROUT - GR-1
MFR: CUSTOM BUILDING
MODEL: EPOXY
COLOR: 335 WINTER GRAY</t>
  </si>
  <si>
    <t>GROUT - GR-3
MFR: CUSTOM BUILDING
MODEL: EPOXY
COLOR: 543 DRIFTWOOD</t>
  </si>
  <si>
    <r>
      <rPr>
        <b/>
        <sz val="10"/>
        <rFont val="Calibri"/>
        <family val="2"/>
        <scheme val="minor"/>
      </rPr>
      <t>PLASTIC LAMINATE - PL-1</t>
    </r>
    <r>
      <rPr>
        <sz val="10"/>
        <rFont val="Calibri"/>
        <family val="2"/>
        <scheme val="minor"/>
      </rPr>
      <t xml:space="preserve">
MFR: WILSONART
MODEL: STANDARD LAMINATE
COLOR: FLORENCE WALNUT 7993-38</t>
    </r>
  </si>
  <si>
    <r>
      <rPr>
        <b/>
        <sz val="10"/>
        <rFont val="Calibri"/>
        <family val="2"/>
        <scheme val="minor"/>
      </rPr>
      <t>PLASTIC LAMINATE - PL-2</t>
    </r>
    <r>
      <rPr>
        <sz val="10"/>
        <rFont val="Calibri"/>
        <family val="2"/>
        <scheme val="minor"/>
      </rPr>
      <t xml:space="preserve">
MFR: WILSONART
MODEL: STANDARD LAMINATE
COLOR: MAGNOLIA 5012-60</t>
    </r>
  </si>
  <si>
    <r>
      <rPr>
        <b/>
        <sz val="10"/>
        <rFont val="Calibri"/>
        <family val="2"/>
        <scheme val="minor"/>
      </rPr>
      <t>PLASTIC LAMINATE - PL-3</t>
    </r>
    <r>
      <rPr>
        <sz val="10"/>
        <rFont val="Calibri"/>
        <family val="2"/>
        <scheme val="minor"/>
      </rPr>
      <t xml:space="preserve">
MFR: WILSONART
MODEL: STANDARD LAMINATE
COLOR: MAGNOLIA 5012-19</t>
    </r>
  </si>
  <si>
    <r>
      <rPr>
        <b/>
        <sz val="10"/>
        <rFont val="Calibri"/>
        <family val="2"/>
        <scheme val="minor"/>
      </rPr>
      <t>PLASTIC LAMINATE - PL-4</t>
    </r>
    <r>
      <rPr>
        <sz val="10"/>
        <rFont val="Calibri"/>
        <family val="2"/>
        <scheme val="minor"/>
      </rPr>
      <t xml:space="preserve">
MFR: NEVAMAR
MODEL: STANDARD LAMINATE
COLOR: WROUGHT IRON S6054</t>
    </r>
  </si>
  <si>
    <r>
      <rPr>
        <b/>
        <sz val="10"/>
        <rFont val="Calibri"/>
        <family val="2"/>
        <scheme val="minor"/>
      </rPr>
      <t>PLASTIC LAMINATE - PL-5</t>
    </r>
    <r>
      <rPr>
        <sz val="10"/>
        <rFont val="Calibri"/>
        <family val="2"/>
        <scheme val="minor"/>
      </rPr>
      <t xml:space="preserve">
MFR: WILSONART
MODEL: STANDARD LAMINATE
COLOR: CRYSTAL D388-60</t>
    </r>
  </si>
  <si>
    <r>
      <rPr>
        <b/>
        <sz val="10"/>
        <rFont val="Calibri"/>
        <family val="2"/>
        <scheme val="minor"/>
      </rPr>
      <t>PLASTIC LAMINATE - PL-6</t>
    </r>
    <r>
      <rPr>
        <sz val="10"/>
        <rFont val="Calibri"/>
        <family val="2"/>
        <scheme val="minor"/>
      </rPr>
      <t xml:space="preserve">
MFR: WILSONART
MODEL: STANDARD LAMINATE
COLOR: LAPIS BLUE D417-60</t>
    </r>
  </si>
  <si>
    <t>SOLID SURFACE - SLD-1
MFR: WILSONART
MODEL: QUARTZ
COLOR: NIWA Q1002</t>
  </si>
  <si>
    <r>
      <rPr>
        <b/>
        <sz val="10"/>
        <rFont val="Calibri"/>
        <family val="2"/>
        <scheme val="minor"/>
      </rPr>
      <t>PT-1</t>
    </r>
    <r>
      <rPr>
        <sz val="10"/>
        <rFont val="Calibri"/>
        <family val="2"/>
        <scheme val="minor"/>
      </rPr>
      <t>: ONE COAT OF PRIMER WITH TWO COATS OF PAINT AT WALLS
MFR: SHERWIN WILLIAMS
MODEL: PROMAR 200 HP ZERO VOC
COLOR: SW9166 DRIFT OF MIST</t>
    </r>
  </si>
  <si>
    <r>
      <rPr>
        <b/>
        <sz val="10"/>
        <rFont val="Calibri"/>
        <family val="2"/>
        <scheme val="minor"/>
      </rPr>
      <t>PT-3</t>
    </r>
    <r>
      <rPr>
        <sz val="10"/>
        <rFont val="Calibri"/>
        <family val="2"/>
        <scheme val="minor"/>
      </rPr>
      <t>: ONE COAT OF PRIMER WITH TWO COATS OF PAINT AT CEILING
MFR: SHERWIN WILLIAMS
MODEL: PROMAR 200 HP ZERO VOC
COLOR: SW9166 DRIFT OF MIST
REMARKS: FLAT</t>
    </r>
  </si>
  <si>
    <r>
      <rPr>
        <b/>
        <sz val="10"/>
        <rFont val="Calibri"/>
        <family val="2"/>
        <scheme val="minor"/>
      </rPr>
      <t>PT-4</t>
    </r>
    <r>
      <rPr>
        <sz val="10"/>
        <rFont val="Calibri"/>
        <family val="2"/>
        <scheme val="minor"/>
      </rPr>
      <t>: ONE COAT OF PRIMER WITH TWO COATS OF PAINT AT WALLS
MFR: BENJAMIN MOORE
MODEL: REGAL SELECT
COLOR: 2066-10 BLUE</t>
    </r>
  </si>
  <si>
    <r>
      <rPr>
        <b/>
        <sz val="10"/>
        <rFont val="Calibri"/>
        <family val="2"/>
        <scheme val="minor"/>
      </rPr>
      <t>PT-6</t>
    </r>
    <r>
      <rPr>
        <sz val="10"/>
        <rFont val="Calibri"/>
        <family val="2"/>
        <scheme val="minor"/>
      </rPr>
      <t>: ONE COAT OF PRIMER WITH TWO COATS OF PAINT AT WALLS
MFR: BENJAMIN MOORE
MODEL: REGAL SELECT
COLOR: 1603 GRAPHITE
REMARKS: EGGSHELL</t>
    </r>
  </si>
  <si>
    <r>
      <rPr>
        <b/>
        <sz val="10"/>
        <rFont val="Calibri"/>
        <family val="2"/>
        <scheme val="minor"/>
      </rPr>
      <t>PT-7</t>
    </r>
    <r>
      <rPr>
        <sz val="10"/>
        <rFont val="Calibri"/>
        <family val="2"/>
        <scheme val="minor"/>
      </rPr>
      <t>: ONE COAT OF PRIMER WITH TWO COATS OF PAINT AT WALLS
MFR: SHIELDZ
MODEL: UNIVERSAL WALLCOVERING
COLOR: ROMAN PRO - 999 ULTRA PRIME
REMARKS: PRIMER (DRIES CLEAR), COORDINATE w/ OWNER VENDOR</t>
    </r>
  </si>
  <si>
    <r>
      <rPr>
        <b/>
        <sz val="10"/>
        <rFont val="Calibri"/>
        <family val="2"/>
        <scheme val="minor"/>
      </rPr>
      <t>PT-8</t>
    </r>
    <r>
      <rPr>
        <sz val="10"/>
        <rFont val="Calibri"/>
        <family val="2"/>
        <scheme val="minor"/>
      </rPr>
      <t>: ONE COAT OF PRIMER WITH TWO COATS OF PAINT AT WALLS
MFR: BENJAMIN MOORE
MODEL: REGAL SELECT INTERIOR PAINT
COLOR: 797 ATHENS BLUE
REMARKS: EGGSHELL</t>
    </r>
  </si>
  <si>
    <t>WALL TILE - WT-1
SIZE: 3" x 12" 
MFR: ROCA 
MODEL: FLOW 
COLOR: WHITE (FLOWH17-312</t>
  </si>
  <si>
    <t xml:space="preserve">WALL TILE - WT-2
SIZE: 3" x 12" 
MFR: ROCA 
MODEL: FLOW 
COLOR: COSMIC SAPPHIRE (FLOCB09-312) </t>
  </si>
  <si>
    <t xml:space="preserve">WALL TILE - WT-3
SIZE: 6" x 12" 
MFR: MOSA 
MODEL: MURALS 
COLOR: DARK ANTHRACITE #2 (30610-1530) </t>
  </si>
  <si>
    <t xml:space="preserve">BULLNOSE BASE - WT-8
SIZE: 3" x 12" 
MFR: ROCA 
MODEL: FLOW 
COLOR: TENDER GRAY (FLOTG10-S4312) </t>
  </si>
  <si>
    <t xml:space="preserve">WALL TILE - WT-9
SIZE: 3" x 12" 
MFR: ROCA 
MODEL: FLOW 
COLOR: TENDER GRAY (FLOTG10-312) </t>
  </si>
  <si>
    <t>WALL COVERING - WC-1
MFR: FORMULA 
MODEL: VARIES BY FOCUS MARKET</t>
  </si>
  <si>
    <t xml:space="preserve">FIBERGLASS REINFORCED PLASTIC - FRP-1
SIZE: 48" H 
MFR: MARLITE 
MODEL: PEBBLED 
COLOR: P100 CLASSIC WHITE </t>
  </si>
  <si>
    <t>WALL COVERING @PT7 PAINT
- ASSUMED WALL COVERING, V.I.F</t>
  </si>
  <si>
    <t xml:space="preserve">RUBBER BASE - WB-1
SIZE: 4" 
MFR: JOHNSONITE 
MODEL: TRADITIONAL WALL BASE 
COLOR: #48 GREY </t>
  </si>
  <si>
    <r>
      <t xml:space="preserve">ACOUSTICAL CEILING TILE - </t>
    </r>
    <r>
      <rPr>
        <b/>
        <sz val="10"/>
        <rFont val="Calibri"/>
        <family val="2"/>
        <scheme val="minor"/>
      </rPr>
      <t>ACT-2</t>
    </r>
    <r>
      <rPr>
        <sz val="10"/>
        <rFont val="Calibri"/>
        <family val="2"/>
        <scheme val="minor"/>
      </rPr>
      <t xml:space="preserve">
SIZE: 24" x 24" x 5/8"
MFR: ARMSTRONG
MODEL: 1729 - FINE FISSURED
COLOR: TECH BLACK (BL)
ACOUSTICAL CEILING GRID - </t>
    </r>
    <r>
      <rPr>
        <b/>
        <sz val="10"/>
        <rFont val="Calibri"/>
        <family val="2"/>
        <scheme val="minor"/>
      </rPr>
      <t>ACT-2</t>
    </r>
    <r>
      <rPr>
        <sz val="10"/>
        <rFont val="Calibri"/>
        <family val="2"/>
        <scheme val="minor"/>
      </rPr>
      <t xml:space="preserve">
SIZE: 2" x 15/16"
MFR: GORDON</t>
    </r>
  </si>
  <si>
    <r>
      <t xml:space="preserve">MOTORIZED MECHOSHADE (75 LF) - </t>
    </r>
    <r>
      <rPr>
        <b/>
        <sz val="10"/>
        <rFont val="Calibri"/>
        <family val="2"/>
        <scheme val="minor"/>
      </rPr>
      <t>MECHO</t>
    </r>
    <r>
      <rPr>
        <sz val="10"/>
        <rFont val="Calibri"/>
        <family val="2"/>
        <scheme val="minor"/>
      </rPr>
      <t xml:space="preserve">
MFR: MECHOSHADE
MODEL: THERMOVEIL DENSE BASKET WEAVE 1300 SERIES</t>
    </r>
  </si>
  <si>
    <t>A130</t>
  </si>
  <si>
    <t>BACKING</t>
  </si>
  <si>
    <t xml:space="preserve">1/2" PLYWOOD </t>
  </si>
  <si>
    <t>3/4" PLYWOOD</t>
  </si>
  <si>
    <t>5/8" PLYWOOD BACKING</t>
  </si>
  <si>
    <r>
      <t xml:space="preserve">NOTE: </t>
    </r>
    <r>
      <rPr>
        <sz val="10"/>
        <rFont val="Calibri"/>
        <family val="2"/>
        <scheme val="minor"/>
      </rPr>
      <t>ALL ABOVE PLASTIC LAMINATE HAVE FOLLOWING SPECS</t>
    </r>
  </si>
  <si>
    <t xml:space="preserve">1/4" THK. CEMENTITUOUS BACKER BOARD AT WALLS </t>
  </si>
  <si>
    <t>1x4 FIRE RETARDANT TREATED BLOCKING</t>
  </si>
  <si>
    <t>2x4 FIRE RETARDANT TREATED BLOCKING</t>
  </si>
  <si>
    <t>ROOFING</t>
  </si>
  <si>
    <t>TAPERED INSULATION</t>
  </si>
  <si>
    <t>WALKWAY PAD</t>
  </si>
  <si>
    <t>TAPERED POLYISOCYANURATE INSULATION ROOF CRICKET</t>
  </si>
  <si>
    <t>TPO WALKWAY PAD MEMBRANE</t>
  </si>
  <si>
    <t>FLASHING</t>
  </si>
  <si>
    <t>FLASHING @ ROOF DRAIN</t>
  </si>
  <si>
    <t>FLASHING @ VENT PIPE</t>
  </si>
  <si>
    <t>ACCESS HATCH</t>
  </si>
  <si>
    <t>30"x36" ROOF ACCESS HATCH 
- EPDM GASKET
- SLAM LATCH
- 11 GA. THERMALLY BROKEN COVER
- 18GA. ALUMINUM COVER LINER
- ARM GUIDE BRACKET
- 3" POLYISO COVER INSULATION
- PINTHE HINGE STAINLESS STEEL TYPE 316
- AUTOMATIC HOLD-OPEN ARM W/ RED VINYL GRIP
- SPRING LIFT MECHANISM</t>
  </si>
  <si>
    <t>3-5/8" 20 GA. METAL STUDS @ 16" O.C. 
NO. OF STUDS @ 2' HT: 35
NO. OF STUDS @ 3' HT: 56
NO. OF STUDS @ 3'-9" HT: 6
NO. OF STUDS @ 12'-6" HT: 101
NO. OF STUDS @ 18'-8" HT: 6</t>
  </si>
  <si>
    <t>3-1/2"THK. BATT INSULATION AT EXTERIOR WALLS</t>
  </si>
  <si>
    <t>2"THK. RIGID INSULATION AT ROOF TRANSITION WALL</t>
  </si>
  <si>
    <t>COVER BOARD</t>
  </si>
  <si>
    <t>1/4"THK. COVER BOARD</t>
  </si>
  <si>
    <t>2x4 TREATED BLOCKING</t>
  </si>
  <si>
    <t>2x6 TREATED BLOCKING</t>
  </si>
  <si>
    <t>TWO-PIECE ALUMINUM HEAD FLASHING</t>
  </si>
  <si>
    <t>SELF ADHERED FLASHING STRIP</t>
  </si>
  <si>
    <t>COPING</t>
  </si>
  <si>
    <t>2x16 TREATED BLOCKING</t>
  </si>
  <si>
    <t>2x10 TREATED BLOCKING</t>
  </si>
  <si>
    <t>2x14 TREATED BLOCKING</t>
  </si>
  <si>
    <t>1x6 TREATED BLOCKING</t>
  </si>
  <si>
    <t>2'4" PREFINISHED ALUMINUM COPNG W/ CLEATS &amp; SPLICE PLATES</t>
  </si>
  <si>
    <t>2' PREFINISHED COPING W/ CLEATS &amp; SPLICE PLATES</t>
  </si>
  <si>
    <t>2'7" PREFINISHED 0.040 GA. ALUMINUM COPING W/ CLEATS &amp; SPLICE PLATES</t>
  </si>
  <si>
    <t>COUNTER FLASHING</t>
  </si>
  <si>
    <t>VAPOR BARRIER</t>
  </si>
  <si>
    <t>PRESUURE SENSITIVE AIR &amp; VAPOR BARRIER @ CURB</t>
  </si>
  <si>
    <t xml:space="preserve">PREFABRICATED METAL CURB @ ROOF HATCH 
- 3" POLYISO CURB INSULATION </t>
  </si>
  <si>
    <t>2"THK. POLYISO BOARD INSULATION AT ROOF</t>
  </si>
  <si>
    <t>MIN. 6"THK. POLYISO BOARD INSULATION R-34 AT ROOF</t>
  </si>
  <si>
    <t>5/8"THK. PLYWOOD SHEATHING AT ROOF</t>
  </si>
  <si>
    <t>60-MIL SINGLE-PLY MEMBRANE FULLY ADHERED W/ ADDITIONAL LAYER</t>
  </si>
  <si>
    <t>EXTERIOR FINISH</t>
  </si>
  <si>
    <t>3-1/4"THK. x 3-5/8"H HALF ROWLOCK BRICK</t>
  </si>
  <si>
    <t>7-5/8"THK. x 3-5/8"H ROWLOCK SILL</t>
  </si>
  <si>
    <t>ROWLOCK</t>
  </si>
  <si>
    <t>LUID APPLIED VAPOR BARRIER</t>
  </si>
  <si>
    <t>2"THK. RIGID INSULATION BEHIND EXTERIOR FINISH</t>
  </si>
  <si>
    <t>ALUMINUM FLASHING</t>
  </si>
  <si>
    <t>THRU WALL FLASHING</t>
  </si>
  <si>
    <t>SILL</t>
  </si>
  <si>
    <t>PRE-FINISHED ALUMINUM SILL</t>
  </si>
  <si>
    <t>SEALANT W/ BACKER ROD</t>
  </si>
  <si>
    <t>`</t>
  </si>
  <si>
    <t>2x6 BLOCKING</t>
  </si>
  <si>
    <t>3"THK. EIFS BARRIER SYSTEM AT SOFFIT - EIFS1
MFR: DRYVIT OUTSULATION PLUS MD
COLOR: DOVER SKY
FINISH: SANDBLAST FINISH</t>
  </si>
  <si>
    <t>3"THK. EIFS BARRIER SYSTEM - EIFS1
MFR: DRYVIT OUTSULATION PLUS MD
COLOR: DOVER SKY
FINISH: SANDBLAST FINISH</t>
  </si>
  <si>
    <t>5"THK. EIFS BARRIER SYSTEM - EIFS2
MFR: DRYVIT OUTSULATION PLUS MD
COLOR: DOVER SKY
FINISH: SANDBLAST FINISH</t>
  </si>
  <si>
    <t>3-5/8"THK. STANDARD MODULAR BRICK VENEER W/ ADJUSTABLE BRICK TIES @ 32"O.C HORIZOANTAL &amp; 16" VERTICAL 
MFR: ACME BRICL
COLOR: SLATE GRAY
- MORTAR MANUFACTURER: COOSA, MORTAR COLOR: OLD LIME PUTTY</t>
  </si>
  <si>
    <t>FLUID APPLIED VAPOR BARRIER</t>
  </si>
  <si>
    <t>EIFS FINISH SYSTEM</t>
  </si>
  <si>
    <t>ALUMINUM COMPOSITE FINISH SYSTEM</t>
  </si>
  <si>
    <t>ALUMINUM COMPOSITE METAL PANEL FINISH O/ SUB-GIRT
MFR: ALCOA ARCHITECTURAL REYNOBOND
COLOR: CUSTOM FIFTH THIRD BLUE
- 4MM FR CORE ALUMINUM COMPOSITE PANEL, DURAGLOSS 3000</t>
  </si>
  <si>
    <t>5/8"THK. PLYWOOD SHEATHING AT CANOPY CEILING</t>
  </si>
  <si>
    <t>ALUMINUM COMPOSITE METAL PANEL FINISH O/ SUB-GIRT AT CANOPY
MFR: ALCOA ARCHITECTURAL REYNOBOND
COLOR: ANODIC CLEAR
- 4MM FR CORE ALUMINUM COMPOSITE PANEL, COLORWELD 500</t>
  </si>
  <si>
    <t xml:space="preserve">ALUMINUM COMPOSITE METAL PANEL CANOPY FASCIA
- 12"TOP x 12"FRONT x 6"BASE </t>
  </si>
  <si>
    <t>A200, A201</t>
  </si>
  <si>
    <t>A130, A200, A201</t>
  </si>
  <si>
    <t>A200</t>
  </si>
  <si>
    <t>APPLIANCES</t>
  </si>
  <si>
    <t>MICROWAVE DRAWER - AE01
MFR: SHARP
MODEL: SMD3070ASY</t>
  </si>
  <si>
    <t xml:space="preserve">MICROWAVE - AE-02
MFR: GE 
MODEL: GCST11X1WSS </t>
  </si>
  <si>
    <t xml:space="preserve">REFRIGERATOR - AE-03
MFR: WHIRLPOOL 
MODEL: WRFC2036RZ </t>
  </si>
  <si>
    <t xml:space="preserve">DISHWASHER - AE-04
MFR: GE 
MODEL: PDT145SGL/SS </t>
  </si>
  <si>
    <t xml:space="preserve">QUENCH - AE-06
MFR: QUENCH 
MODEL: Q8CT </t>
  </si>
  <si>
    <t>FURNITURE</t>
  </si>
  <si>
    <t>FIRE EXTINGUISHER CABINET</t>
  </si>
  <si>
    <t>6"x4" TACTILE SIGNAGE</t>
  </si>
  <si>
    <t>6"x9" ADA MEN TOILET SIGNAGE_x000D_
- 5/8"Hx1/32" RAISED LETTERING, GRADE 2 BRAILLE</t>
  </si>
  <si>
    <t>6"x9" ADA WOMAN TOILET SIGNAGE</t>
  </si>
  <si>
    <t>G001</t>
  </si>
  <si>
    <t>18" VERTICAL GRAB BAR - TA3
- BRADELY 1-1/4" STAINLESS STEEL GRAB BAR</t>
  </si>
  <si>
    <t>42" HORIZONTAL GRAB BAR - TA3
- BRADELY 1-1/4" STAINLESS STEEL GRAB BAR</t>
  </si>
  <si>
    <t xml:space="preserve">WASTE RECEPTACLE - TA4
- BOBRICK B-3644 RECESSED </t>
  </si>
  <si>
    <t>2'x3' MIRROR - TA6
- BOBRICK B-290 GLASS MIRROR W/ STAINLESS STEEL ANGLE FRAME</t>
  </si>
  <si>
    <t>SANITARY NAPKIN DISPOSAL - TA8
- BOBRICK B-270</t>
  </si>
  <si>
    <t>COAT HOOK - TA9</t>
  </si>
  <si>
    <t>SURFACE MOUNTED MOP HOLDER - TA10
- BOBRICK B-223x24, SATIN FINISH</t>
  </si>
  <si>
    <t>PAPER TOWEL DISPENSER - TA2</t>
  </si>
  <si>
    <t>TOILET TISSUE DISPENSER - TA1</t>
  </si>
  <si>
    <t>SOAP DISPENSER - TA5</t>
  </si>
  <si>
    <t>3'Wx7'H TYPE B SOLID CORE WOOD DOOR W/ WELDED HOLLOW METAL FRAME</t>
  </si>
  <si>
    <t>3'Wx7'H TYPE B SOLID CORE WOOD DOOR W/ WELDED HOLLOW METAL FRAME_x000D_
- CARD READER</t>
  </si>
  <si>
    <t>3'Wx7'H TYPE C SOLID CORE WOOD DOOR W/ KNOCK-DOWN HOLLOW METAL FRAME_x000D_
- CARD READER</t>
  </si>
  <si>
    <t>(2) 3'Wx8'H MED. STILE STOREFRONT GLASS DOOR W/ ALUMINUM STOREFRONT FRAME_x000D_
- AUTO OPERATION BUTTON</t>
  </si>
  <si>
    <t>3'4"Wx7'H TYPE F THIN PROFILE SLIDING GLASS DOOR W/ ALUMINUM FRAME
- GC PURCHASE &amp; COORDINATE W/ FIFTHHIRDSUPPORT@DIRT.COM</t>
  </si>
  <si>
    <t>EXTERIOR DOOR</t>
  </si>
  <si>
    <t>(2) 3'Wx8'H MED. STILE STOREFRONT GLASS DOOR W/ ALUMINUM STOREFRONT FRAME
- CARD READER &amp; POWER ASSIT BUTTON</t>
  </si>
  <si>
    <t>3'Wx8'H TYPE E MED. STILE STOREFRONT GLASS DOOR W/ ALUMINUM STOREFRONT FRAME</t>
  </si>
  <si>
    <r>
      <rPr>
        <b/>
        <sz val="10"/>
        <rFont val="Calibri"/>
        <family val="2"/>
        <scheme val="minor"/>
      </rPr>
      <t>HARDWARE 1</t>
    </r>
    <r>
      <rPr>
        <sz val="10"/>
        <rFont val="Calibri"/>
        <family val="2"/>
        <scheme val="minor"/>
      </rPr>
      <t xml:space="preserve">
2 CONTINUOUS HINGE X EPT PREP CFM__HD1 PT PE
1 ELEC CVR EXIT DEVICE (NIGHTLATCH) 53 55 56-HK AD8410 106 X LESS PULL (24V) US32D SA
1 ELEC CVR EXIT DEVICE (EXIT ONLY) 53 55 56-HK AD8410 EO (24V) US32D SA
1 MORTISE CYLINDER 41 SERIES AS REQ'D US32D SA
1 PERMANENT MEDECO CYLINDER BY OWNER (INSTALLED BY CONTRACTOR – COORDINATE / VERIFY KEYING WITH OWNER) 24 MC
2 OFFSET PULL RM201 US32D316 RO
1 CONC OVERHEAD STOP 6-X36 630 RF
1 DOOR CLOSER W/ STOP 281 CPS EN SA
1 BLADE STOP SPACER 581 AS REQ'D EN SA
1 CLOSER MTG PLATE 281D AS REQ'D EN SA
1 AUTOMATIC OPENER 6061 (D) - PUSH SIDE 689 NO
1 THRESHOLD 253X3AFG FHSL14SS PE
1 CREDENTIAL READER BY DIV 28 (12V) OT
1 ADA SWITCH – FLUSH MOUNT BOX 10BOXJAMBFM BEA
1 ADA SWITCH – JAMB MOUNT 503 NO
2 POWER SUPPLY BATTERY (24V) B-24-5 SU
2 POSITION SWITCH DPS-M SU
2 SHARED POWER SUPPLY (24V) AQD2-8F8R2 24V-2 AMP SU
2 ELECTRIC POWER TRANSFER EPT10 VD
1 SEALS, SWEEPS &amp; ASTRAGALS BY ALUMINUM DOOR MFR. OT</t>
    </r>
  </si>
  <si>
    <r>
      <rPr>
        <b/>
        <sz val="10"/>
        <rFont val="Calibri"/>
        <family val="2"/>
        <scheme val="minor"/>
      </rPr>
      <t>HARDWARE 3</t>
    </r>
    <r>
      <rPr>
        <sz val="10"/>
        <rFont val="Calibri"/>
        <family val="2"/>
        <scheme val="minor"/>
      </rPr>
      <t xml:space="preserve">
1 CONTINUOUS HINGE CFM__HD1 PE
1 RIM EXIT DEVICE (NL X LESS DOGGING) 43 AD8504 LESS PULL US32D SA
1 RIM CYLINDER 34 SERIES AS REQ'D US32D SA
1 PERMANENT MEDECO CYLINDER BY OWNER (INSTALLED BY CONTRACTOR - COORDINATE KEYING WITH OWNER) 24 MC
1 ELECTRIC STRIKE W/ LATCH MONITOR 9500-LBM (12V) 630 HS
1 OFFSET PULL RM201 MTG-TYPE 12XHD US32D316 RO
1 DOOR CLOSER W/ STOP 281 CPS EN SA
1 BLADE STOP SPACER 581 AS REQ'D EN SA
1 CLOSER MTG PLATE 281D AS REQ'D EN SA
1 THRESHOLD 253X3AFG FHSL14S PE
1 ACCESS CONTROL READER BY DIV 28 (12V) OT
1 POWER SUPPLY BY DIV 28 (12V) OT
1 SEALS, SWEEPS &amp; ASTRAGALS BY ALUMINUM DOOR MFR. OT</t>
    </r>
  </si>
  <si>
    <r>
      <rPr>
        <b/>
        <sz val="10"/>
        <rFont val="Calibri"/>
        <family val="2"/>
        <scheme val="minor"/>
      </rPr>
      <t>HARDWARE 4</t>
    </r>
    <r>
      <rPr>
        <sz val="10"/>
        <rFont val="Calibri"/>
        <family val="2"/>
        <scheme val="minor"/>
      </rPr>
      <t xml:space="preserve">
2 CONTINUOUS HINGE CFM__HD1 PE
2 PUSH / PULL SET RM251 MTG-TYPE 12XHD US32D RO
1 CONC OVERHEAD STOP 6-X36 630 RF
1 DOOR CLOSER W/ STOP 281 CPS EN SA
1 BLADE STOP SPACER 581 AS REQ'D EN SA
1 CLOSER MTG PLATE 281D AS REQ'D EN SA
1 AUTOMATIC OPENER 6061 (D) - PUSH SIDE 689 NO
1 ADA SWITCH - JAMB MOUNT 503 NO
1 ADA SWITCH MOUNTING BOX 10BOXJAMBFM BEA
1 ADA SWITCH – VESTIBULE BUTTON 10PBDGP1 BEA
1 ADA SWITCH MOUNTING BOX 10BOX475SQFM BEA
1 SEALS, SWEEPS &amp; ASTRAGALS BY ALUMINUM DOOR MFR. OT</t>
    </r>
  </si>
  <si>
    <r>
      <rPr>
        <b/>
        <sz val="10"/>
        <rFont val="Calibri"/>
        <family val="2"/>
        <scheme val="minor"/>
      </rPr>
      <t>HARDWARE 6</t>
    </r>
    <r>
      <rPr>
        <sz val="10"/>
        <rFont val="Calibri"/>
        <family val="2"/>
        <scheme val="minor"/>
      </rPr>
      <t xml:space="preserve">
3 HINGE, FULL MORTISE TA2714 NRP (OUTSWING) / TA2714 (INSWING) US26D MK
1 STOREROOM LOCK 10XG04 LL (W/ STD CYL) US26D SA
1 PERMANENT MEDECO KIL CYLINDER BY OWNER (INSTALLED BY CONTRACTOR – COORDINATE KEYING WITH OWNER) 24 MC
1 ELECTRIC STRIKE W/ LATCH MONITOR 5200C-LBM (12V) 630 HS
1 DOOR STOP 441CU FLOOR STOP (USE RIXSON 10-X36 OVERHEAD STOP AS REQ'D IF FLOOR STOP IS NOT FEASIBLE) US26D RO
1 DOOR CLOSER 281 O / P10 AS REQ'D EN SA
1 KICK PLATE K1050 10" HGT X CSK X BEV US32D RO
3 SILENCER 608/609 AS REQ'D RO
1 ACCESS CONTROL READER BY DIV 28 (12V) OT
1 WIRING HARNESS (FRAME) QC-C3000P MK
1 RX MOTION SENSOR BY DIV 28 (12V) SU
1 POWER SUPPLY BY DIV 28 (12V) OT
2 DOOR SCOPE / VIEWER DS1000 626 OT</t>
    </r>
  </si>
  <si>
    <r>
      <rPr>
        <b/>
        <sz val="10"/>
        <rFont val="Calibri"/>
        <family val="2"/>
        <scheme val="minor"/>
      </rPr>
      <t>HARDWARE 7</t>
    </r>
    <r>
      <rPr>
        <sz val="10"/>
        <rFont val="Calibri"/>
        <family val="2"/>
        <scheme val="minor"/>
      </rPr>
      <t xml:space="preserve">
3 HINGE, FULL MORTISE TA2714 NRP (OUTSWING) / TA2714 (INSWING) US26D MK
1 STOREROOM LOCK 10XG04 LL (W/ STD CYL) US26D SA
1 PERMANENT MEDECO KIL CYLINDER BY OWNER (INSTALLED BY CONTRACTOR – COORDINATE KEYING WITH OWNER) 24 MC
1 ELECTRIC STRIKE W/ LATCH MONITOR 5200C-LBM (12V) 630 HS
1 DOOR CLOSER W/ STOP 281 CPS EN SA
3 SILENCER 608/609 AS REQ'D RO
1 CREDENTIAL READER BY DIV 28 (12V) OT
1 WIRING HARNESS (FRAME) QC-C3000P MK
1 RX MOTION SENSOR BY DIV 28 (12V) SU</t>
    </r>
  </si>
  <si>
    <r>
      <rPr>
        <b/>
        <sz val="10"/>
        <rFont val="Calibri"/>
        <family val="2"/>
        <scheme val="minor"/>
      </rPr>
      <t>HARDWARE 9</t>
    </r>
    <r>
      <rPr>
        <sz val="10"/>
        <rFont val="Calibri"/>
        <family val="2"/>
        <scheme val="minor"/>
      </rPr>
      <t xml:space="preserve">
3 HINGE, FULL MORTISE TA2714 NRP (OUTSWING) / TA2714 (INSWING) US26D MK
1 STOREROOM LOCK 10XG04 LL (W/ STD CYL) US26D SA
1 PERMANENT MEDECO KIL CYLINDER BY OWNER (INSTALLED BY CONTRACTOR – COORDINATE KEYING WITH OWNER) 24 MC
1 ELECTRIC STRIKE W/ LATCH MONITOR 5200C-LBM (12V) 630 HS
1 KICK PLATE K1050 10" HGT X CSK X BEV US32D RO
1 DOOR STOP 441CU FLOOR STOP (USE RIXSON 10-X36 OVERHEAD STOP AS REQ'D IF FLOOR STOP IS NOT FEASIBLE) US26D RO
3 SILENCER 608/609 AS REQ'D RO
1 WIRING HARNESS (FRAME) QC-C3000P MK
1 ACCESS CONTROL READER BY DIV. 28 (12V) OT
1 POWER SUPPLY (12V) BY DIV 28 OT</t>
    </r>
  </si>
  <si>
    <r>
      <rPr>
        <b/>
        <sz val="10"/>
        <rFont val="Calibri"/>
        <family val="2"/>
        <scheme val="minor"/>
      </rPr>
      <t>HARDWARE 10</t>
    </r>
    <r>
      <rPr>
        <sz val="10"/>
        <rFont val="Calibri"/>
        <family val="2"/>
        <scheme val="minor"/>
      </rPr>
      <t xml:space="preserve">
3 HINGE, FULL MORTISE TA2714 4.5" X 4.5" US26D MK
1 PRIVACY LOCK W/ INDICATOR LB V20 8265 LNL US26D SA
1 DOOR STOP 441CU FLOOR STOP (USE RIXSON 10-X36 OVERHEAD STOP AS REQ'D IF FLOOR STOP IS NOT FEASIBLE) US26D RO
3 SILENCERS 608/609 AS REQ'D PE
2 COAT HOOK RM817 US26D RO</t>
    </r>
  </si>
  <si>
    <r>
      <rPr>
        <b/>
        <sz val="10"/>
        <rFont val="Calibri"/>
        <family val="2"/>
        <scheme val="minor"/>
      </rPr>
      <t>HARDWARE 11</t>
    </r>
    <r>
      <rPr>
        <sz val="10"/>
        <rFont val="Calibri"/>
        <family val="2"/>
        <scheme val="minor"/>
      </rPr>
      <t xml:space="preserve">
DOORS: 112 (WOMENS), 113 (MENS)
3 HINGE, FULL MORTISE TA2314 4.5" X 4.5" US26D MK
1 PRIVACY LOCK W/ INDICATOR LB V20 8265 LNL US26D SA
1 DOOR STOP 441CU FLOOR STOP (USE RIXSON 10-X36 OVERHEAD STOP AS REQ'D IF FLOOR STOP IS NOT FEASIBLE) US26D RO
1 DOOR CLOSER 281 O / P10 AS REQ'D EN SA
1 KICK PLATE K1050 10" HGT X CSK X BEV US32D RO
3 SILENCER 608/609 AS REQ'D RO
2 COAT HOOK RM817 US26D RO</t>
    </r>
  </si>
  <si>
    <r>
      <rPr>
        <b/>
        <sz val="10"/>
        <rFont val="Calibri"/>
        <family val="2"/>
        <scheme val="minor"/>
      </rPr>
      <t>HARDWARE 14</t>
    </r>
    <r>
      <rPr>
        <sz val="10"/>
        <rFont val="Calibri"/>
        <family val="2"/>
        <scheme val="minor"/>
      </rPr>
      <t xml:space="preserve">
1 CONCEALED OVERHEAD SLIDER HARDWARE BY DIRTT US26D DT
1 BACK-TO-BACK PULL 30"/24" CTC 630 DT</t>
    </r>
  </si>
  <si>
    <t>WINDOW</t>
  </si>
  <si>
    <t>STOREFRONT</t>
  </si>
  <si>
    <t>ANODIZED ALUMINUM EXTERIOR STOREFRONT SYSTEM 
BASIS OF DESIGN: YKK YES45 TU - CENTER SET THERMALLY BROKEN STOREFRONT, 1" PANEL INFILL 2"x4-1/2" MULLION
EXTERIOR INSULATED GLAZING UNIT: 1"THK. VITRO SOLARBAN 90 (2) ACUITY</t>
  </si>
  <si>
    <t>ANODIZED ALUMINUM INTERIOR STOREFRONT SYSTEM 
BASIS OF DESIGN: YKK YES45 FS - CENTER SET, 1/4" PANEL INFILL 1-3/4" x 4-1/2"  MULLION
INTERIOR GLAZING UNIT: 1/4"THK. CLEAR FLOAT GLASS, FULLY TEMPERED</t>
  </si>
  <si>
    <t>ANODIZED ALUMINUM INTERIOR STOREFRONT SYSTEM
- GC PURCHASE &amp; COORDINATE W/ FIFTHHIRDSUPPORT@DIRT.COM
NOTE: DIRT WALL SYSTEM BY DIRT WALL VENDOR</t>
  </si>
  <si>
    <t>7'4"W x 12'H ALUMINUM FRAME GLAZING WINDOW - C</t>
  </si>
  <si>
    <t>8'W x 9'4"H ALUMINUM FRAME GLAZING WINDOW - D</t>
  </si>
  <si>
    <t>6'W x 7'4"H ALUMINUM FRAME GLAZING WINDOW - E</t>
  </si>
  <si>
    <t>13'4"W x 9'4"H ALUMINUM FRAME GLAZING WINDOW - G</t>
  </si>
  <si>
    <t>14'W x 9'4"H ALUMINUM FRAME GLAZING WINDOW - H</t>
  </si>
  <si>
    <r>
      <t>NOTE:</t>
    </r>
    <r>
      <rPr>
        <sz val="10"/>
        <rFont val="Calibri"/>
        <family val="2"/>
        <scheme val="minor"/>
      </rPr>
      <t xml:space="preserve"> ALL ABOVE WINDOWS ARE
EXTERIOR INSULATED GLAZING UNIT: 1"THK. VITRO SOLARBAN 90 (2) ACUITY</t>
    </r>
  </si>
  <si>
    <t>12'11-1/2"W x 12'H ALUMINUM FRAME GLAZING WINDOW - A</t>
  </si>
  <si>
    <t>A610</t>
  </si>
  <si>
    <t>A600</t>
  </si>
  <si>
    <r>
      <rPr>
        <b/>
        <sz val="10"/>
        <rFont val="Calibri"/>
        <family val="2"/>
        <scheme val="minor"/>
      </rPr>
      <t>NOTE:</t>
    </r>
    <r>
      <rPr>
        <sz val="10"/>
        <rFont val="Calibri"/>
        <family val="2"/>
        <scheme val="minor"/>
      </rPr>
      <t xml:space="preserve"> ALL BELOW SOLID CORE WOOD DOORS ARE TO BE
STAINED DOOR - SCW   
MFR: OSHKOSH   
MODEL: DESIGNER COLOR SERIES   
COLOR: SLICED WHITE BIRCH; FINISH: AW1 TR8:600 COLOR: 9133D</t>
    </r>
  </si>
  <si>
    <t>INTEGRATED SILL PAN FLASHING</t>
  </si>
  <si>
    <t>INTERIOR TRIM AT OPENING, ASSUMED</t>
  </si>
  <si>
    <t>CONTINUOUS SEALANT AT OPENING</t>
  </si>
  <si>
    <t>PAINTED DOORS</t>
  </si>
  <si>
    <r>
      <rPr>
        <b/>
        <sz val="10"/>
        <rFont val="Calibri"/>
        <family val="2"/>
        <scheme val="minor"/>
      </rPr>
      <t>PT-3</t>
    </r>
    <r>
      <rPr>
        <sz val="10"/>
        <rFont val="Calibri"/>
        <family val="2"/>
        <scheme val="minor"/>
      </rPr>
      <t>: ONE COAT OF PRIMER WITH TWO COATS OF PAINT AT EXPOSED STRUCTURE
MFR: SHERWIN WILLIAMS
MODEL: PROMAR 200 HP ZERO VOC
COLOR: SW9166 DRIFT OF MIST
REMARKS: FLAT</t>
    </r>
  </si>
  <si>
    <t>OPENING TRIM</t>
  </si>
  <si>
    <t>A150</t>
  </si>
  <si>
    <t>A700 - A707</t>
  </si>
  <si>
    <t>PL-3 FINISH</t>
  </si>
  <si>
    <t>A700 - A706</t>
  </si>
  <si>
    <t>VAPOR BARRIER AT ROOF, ASSUMED</t>
  </si>
  <si>
    <t>A410, A700 - A705</t>
  </si>
  <si>
    <t>A120, A130, A140</t>
  </si>
  <si>
    <t>A130, A131</t>
  </si>
  <si>
    <t>A160, A170</t>
  </si>
  <si>
    <t>CHAIR - CH-06</t>
  </si>
  <si>
    <t>TOTO CHAIR - CH-05
SIZE: 23.5"W X 23"D X 32"H X 18.25"SH</t>
  </si>
  <si>
    <t>BAHKITA - CH-09
SIZE: 18"W X 21"D X 35.4" X 17.25"-21.5"SH</t>
  </si>
  <si>
    <t>CHARGE STATION - CS-01
SIZE: 17.5"W X 20"D X 13.5"H</t>
  </si>
  <si>
    <t>LOCKERS - LK-01
SIZE: 16"W X 12"D X 72"H</t>
  </si>
  <si>
    <t>PHONE ROOM PEDESTAL - MS-01
SIZE: 22.75"H X 15.5"W X 22.5"D</t>
  </si>
  <si>
    <t>PLANTER - MS-03
SIZE: 48"L X 12"W X 30"H</t>
  </si>
  <si>
    <t>PENCIL - ACCY - PD-01
SIZE: 21.75"W X 17.25"D X 2.125"H</t>
  </si>
  <si>
    <t>ROO - PL-01
SIZE: 17.5"D X 29"H</t>
  </si>
  <si>
    <t>THREAD - PT-01
SIZE: 30"H</t>
  </si>
  <si>
    <t>BOOTH PILLOW: BEDFORD - PW-01
SIZE: 18" X 18"</t>
  </si>
  <si>
    <t>BOOTH PILLOW: DBL STITCH - PW-02
SIZE: 18" X 18"</t>
  </si>
  <si>
    <t>BOOTH PILLOW: HERITAGE - PW-03
SIZE: 18" X 18"</t>
  </si>
  <si>
    <t>CRATE DIVIDE 3 BAY - SH-03
SIZE: 53"W X 18"D X 70.5"H</t>
  </si>
  <si>
    <t>CRATE DIVIDE 4 BAY - SH-04
SIZE: 70.25"W X 18"D X 70.5"H</t>
  </si>
  <si>
    <t>CRATE DIVIDE 6 BAY - SH-06
SIZE: 106"W X 18"D X 70.5"H</t>
  </si>
  <si>
    <t>CRATE DIVIDE 8 BAY - SH-08
SIZE: 142"W X 18"D X 70.5"H</t>
  </si>
  <si>
    <t>LUCA 45 LEFT ARM - SS-02L
SIZE: 86.25" X 44.5"D X 29.5"H X 16.5"SH</t>
  </si>
  <si>
    <t>LUCA 45 RIGHT ARM - SS-02R
SIZE: 86.25" X 44.5"D X 29.5"H X 16.5"SH</t>
  </si>
  <si>
    <t>LUCA LEFT ARM W/TABLE - SS-04L
SIZE: 90.25"W X 33.25"D X 29.5"H X 16.5"SH</t>
  </si>
  <si>
    <t>LUCA RIGHT ARM W/TABLE - SS-04R
SIZE: 90.25"W X 33.25"D X 29.5"H X 16.5"SH</t>
  </si>
  <si>
    <t>ORAI - SS-06
SIZE: 101.5"W X 33.5"D X 27"H X 17"SH</t>
  </si>
  <si>
    <t>RAFT SOFA - SS-07A
SIZE: 26.25"D X 26.25"W X 29"H X 18"SH</t>
  </si>
  <si>
    <t>RAFT SOFA - SS-07B
SIZE: 26.25"D X 52.75"W X 29"H X 16.5" SH</t>
  </si>
  <si>
    <t>TRACE - ST-01
SIZE: 36"W X 18.25"D X 51.5"H (CAN VARY)</t>
  </si>
  <si>
    <t>STAKS - ST-03
SIZE: 36"W X 16.5"D X 27.875"H (CAN VARY)</t>
  </si>
  <si>
    <t>YAHEETECH - ST-04
SIZE: 12.6"W X 11.8"D X 34.25"H</t>
  </si>
  <si>
    <t>LUCA - TB-03A
SIZE: 30" DIA X 16"H</t>
  </si>
  <si>
    <t>LUCA - TB-03B
SIZE: 36" DIA X 16"H</t>
  </si>
  <si>
    <t>LUCA SMALL CLUSTER - TB-03C
SIZE: 36" DIA X 16"H + 30" DIA 18"H</t>
  </si>
  <si>
    <t>LUCA LARGE CLUSTER - TB-03D
SIZE: 22" DIA X 14"H</t>
  </si>
  <si>
    <t>ROUND TOP/J87 BASE - TB-04B
SIZE: 36" DIA</t>
  </si>
  <si>
    <t>BLUEPRINT 1900N - TB-05A
SIZE: 66"W X 30"D X 42"H</t>
  </si>
  <si>
    <t>BLUEPRINT 1900S - TB-05B
SIZE: 72"W X 36"D X 42"H</t>
  </si>
  <si>
    <t>BLUEPRINT TABLE - TB-05C
SIZE: 84"W X 36"D X 42"H</t>
  </si>
  <si>
    <t>BLUEPRINT 2400+ - TB-05D
SIZE: 108"W X 36"D X 42"H</t>
  </si>
  <si>
    <t>SWAP TOP / ZOLA TOP - TB-06
SIZE: 24"X30"</t>
  </si>
  <si>
    <t>SWAP TOP / ZOLA TOP - TB-07
SIZE: 30"X48"</t>
  </si>
  <si>
    <t>CONNECT X2 - WD-01
SIZE: 36"X48" (CAN VARY)</t>
  </si>
  <si>
    <t>FLEX DESKS - WS-02
SIZE: 58"W X 29"D X 22.75"-48.5"H</t>
  </si>
  <si>
    <t>TOTO CHAIR - CH-01
SIZE: 23.5"W X 23"D X 32"H X 18.25"SH</t>
  </si>
  <si>
    <t>BOMBOM - CH-02
SIZE: 34.25"W X 30.25"D X 30"H X 19.25"H</t>
  </si>
  <si>
    <t>MERANO CHAIR ARMLESS - CH-03
SIZE: 17"W X 17"D X 31"H X 18"SH</t>
  </si>
  <si>
    <t>LAVA - CH-04
SIZE: 27.25"W X 22"D X 33.25"-37.25"H X 17.75-22"SH</t>
  </si>
  <si>
    <t>TOTO CHAIR - CH-07
SIZE: 23.5"W X 23"D X 32"H X 18.25"SH</t>
  </si>
  <si>
    <t>MAVIC - CH-08
SIZE: 23.5"W X 23.5"D X 35.4"D X 17.5"-21.5"SH</t>
  </si>
  <si>
    <t>MOVI STOOL - CH-10
SIZE: 26"W X 26"D X 37.75"H X 21.5"-28.5"SH</t>
  </si>
  <si>
    <t>MERANO - CH-11
SIZE: 17"W X 14"D X 29"H X 30"SH</t>
  </si>
  <si>
    <t>PLANTER - PL-02
SIZE: 48"W X 12"D X 28"H (CAN VARY)</t>
  </si>
  <si>
    <t>RAFT SOFA - SS-01
SIZE: 26.25"W X 26.25"W X 20.25"-29"H</t>
  </si>
  <si>
    <t>LUCA 2 SEAT - SS-03A
SIZE: 66.5"W X 33.25"D X 29.5"H X 16.5"SH</t>
  </si>
  <si>
    <t>LUCA 3 SEAT - SS-03B
SIZE: 95.75"W X 33.25"D X 29.5"H X 16.5"SH</t>
  </si>
  <si>
    <t>SLIM PED W/ CUSHION - ST-02
SIZE: 12"W X 18"7/8"D X 21"H</t>
  </si>
  <si>
    <t>INTERMIX/STAKS - TB-01
SIZE: 72"W X 36"D X 1"H</t>
  </si>
  <si>
    <t>LUCA - TB-02
SIZE: 18" DIA X 23"H</t>
  </si>
  <si>
    <t>ROUND TOP/J87 BASE - TB-04A
SIZE: 30" DIA</t>
  </si>
  <si>
    <t>WORKSTATION - WS-01
SIZE: OVAL TOP: 42"D X 9"W OR 10"W (VARIES)</t>
  </si>
  <si>
    <t>3'Wx7'H HOLLOW METAL FRAME
PT-2: ONE COAT OF PRIMER WITH TWO COATS OF PAINT
MFR: SHERWIN WILLIAMS
MODEL: PROMAR 200 H ZERO VOC
COLOR: SW9166 DRIFT OF MIST
REMARKS: SEMI-GLOSS</t>
  </si>
  <si>
    <t>PT-2: ONE COAT OF PRIMER WITH TWO COATS OF PAINT AT OPENING TRIM
MFR: SHERWIN WILLIAMS
MODEL: PROMAR 200 H ZERO VOC
COLOR: SW9166 DRIFT OF MIST
REMARKS: SEMI-GLOSS</t>
  </si>
  <si>
    <r>
      <rPr>
        <b/>
        <sz val="10"/>
        <rFont val="Calibri"/>
        <family val="2"/>
        <scheme val="minor"/>
      </rPr>
      <t>PT-5</t>
    </r>
    <r>
      <rPr>
        <sz val="10"/>
        <rFont val="Calibri"/>
        <family val="2"/>
        <scheme val="minor"/>
      </rPr>
      <t>: ONE COAT OF PRIMER WITH TWO COATS OF PAINT AT BOOTH ROOF
MFR: BENJAMIN MOORE
MODEL: REGAL SELECT 
COLOR: 2037-30 KELLY GREEN
REMARKS: EGGSHELL</t>
    </r>
  </si>
  <si>
    <t>A706</t>
  </si>
  <si>
    <t>BOOTH</t>
  </si>
  <si>
    <t>13/16"THK. PLASTIC LAMINATE FINISH ATTACH W/ Z-CLIPS AT WALLS - PL1</t>
  </si>
  <si>
    <t>13/16"THK. PLASTIC LAMINATE FINISH AT CEILING ATTACH W/ Z-CLIPS - PL1</t>
  </si>
  <si>
    <t>1/2" FRY REGLET U-CHANNEL REVEAL MWU5050</t>
  </si>
  <si>
    <t>BOOTH SCREEN PANEL</t>
  </si>
  <si>
    <t>BOOTH SCREEN PANEL SYSTEM - PNL1
MFR: BIG APPLE VISUAL GROUP
- HARDWOO BLOCKING FILLER BOTH SIDE</t>
  </si>
  <si>
    <t>BOOTH CEILING FRAMING</t>
  </si>
  <si>
    <t>6"THK. 16GA. METAL STUD @ 12" O.C</t>
  </si>
  <si>
    <t>6"THK. COUND BATT INSULATION AT BOOTH CEILING</t>
  </si>
  <si>
    <t>3/4"THK. PLYWOOD SHEATHING AT BOOTH CEILING</t>
  </si>
  <si>
    <t>18"H PREFABRICATED METAL CURB W/ 
- INSULATED SUBSTRATE 
- 2x4 P.T WOOD NAILER</t>
  </si>
  <si>
    <t>6"DIA FLEXIBEL DUCT</t>
  </si>
  <si>
    <t>8"DIA FLEXIBLE DUCT</t>
  </si>
  <si>
    <t>10"DIA FLEXIBLE DUCT</t>
  </si>
  <si>
    <t>14"DIA FLEXIBLE DUCT</t>
  </si>
  <si>
    <t>REFRIGERANT PIPE</t>
  </si>
  <si>
    <t>REFRIGERANT PIPING, SIZE NOT GIVEN</t>
  </si>
  <si>
    <t>24"x24" RETURN AIR GRILLE_x000D_
NECK SIZE: 12"x12"_x000D_
CFM: 360</t>
  </si>
  <si>
    <t>24"x24" RETURN AIR GRILLE_x000D_
NECK SIZE: 10"x10"_x000D_
CFM: 220</t>
  </si>
  <si>
    <t>24"x24" RETURN AIR GRILLE_x000D_
NECK SIZE: 8"x8"_x000D_
CFM: 50</t>
  </si>
  <si>
    <t>24"x24" RETURN AIR GRILLE_x000D_
NECK SIZE: 8"x8"_x000D_
CFM: 65</t>
  </si>
  <si>
    <t>24"x24" RETURN AIR GRILLE_x000D_
NECK SIZE: 16"x16"_x000D_
CFM: 895</t>
  </si>
  <si>
    <t>24"x24" RETURN AIR GRILLE_x000D_
NECK SIZE: 16"x16"_x000D_
CFM: 1000</t>
  </si>
  <si>
    <t>ROOF TOP UNIT</t>
  </si>
  <si>
    <t>EXHAUST HOOD</t>
  </si>
  <si>
    <t>24"x22" EXHAUST HOOD, NOA 19-0802.02 EQUAL TO GREENHECK FGR</t>
  </si>
  <si>
    <t>SENSOR</t>
  </si>
  <si>
    <t>SUPPLY AIR TEMPERATURE SENSOR</t>
  </si>
  <si>
    <t>RETURN AIR TEMPERATURE SENSOR</t>
  </si>
  <si>
    <t>CARBON DIOXIDE (C02) SENSOR</t>
  </si>
  <si>
    <t>VOC SENSOR</t>
  </si>
  <si>
    <t>TEMPERATURE SENSOR</t>
  </si>
  <si>
    <t>OUTDOOR AIR TEMPERATURE SENSOR</t>
  </si>
  <si>
    <t>THERMOSTAT CONTROL</t>
  </si>
  <si>
    <t>REMOTE CABLE OPERATED DAMPER</t>
  </si>
  <si>
    <t>PETROLEUM BASED WAX CONTROLLED DAMPER</t>
  </si>
  <si>
    <t>MANUAL DAMPER</t>
  </si>
  <si>
    <t>PARTICLE COUNTER EQUAL TO SENSIRION AG SP530</t>
  </si>
  <si>
    <t>TEMPERATURE &amp; RELATIVE HUMIDITY DISPLAY</t>
  </si>
  <si>
    <t>TITUS SB STEEL SECTORIZING BAFFLE</t>
  </si>
  <si>
    <t>DRAIN</t>
  </si>
  <si>
    <t>1-1/2" RTU CONDENSATE DRAIN W/ P-TRAP &amp; REMOVEABLE VENTED CAP</t>
  </si>
  <si>
    <t>MEP PAINT</t>
  </si>
  <si>
    <t>BLACK PAINT CEILING DIFFUSER</t>
  </si>
  <si>
    <t>MODEULINEAR SLOT SUPPLY CEILING DIFFUSER: LSD (2-48")
CFM: 185</t>
  </si>
  <si>
    <t>MODEULINEAR SLOT SUPPLY CEILING DIFFUSER: LSD (3-48")_x000D_
CFM: 185</t>
  </si>
  <si>
    <t>MODEULINEAR SLOT SUPPLY CEILING DIFFUSER: LSD (2-48")_x000D_
CFM: 140</t>
  </si>
  <si>
    <t>MODEULINEAR SLOT SUPPLY CEILING DIFFUSER: LSD (3-48")_x000D_
CFM: 330</t>
  </si>
  <si>
    <t>MODEULINEAR SLOT SUPPLY CEILING DIFFUSER: LSD (1-48")_x000D_
CFM: 110</t>
  </si>
  <si>
    <t>MODEULINEAR SLOT SUPPLY CEILING DIFFUSER: LSD (1-48")_x000D_
CFM: 90</t>
  </si>
  <si>
    <t>MODEULINEAR SLOT SUPPLY CEILING DIFFUSER: LSD (2-24")_x000D_
CFM: 60</t>
  </si>
  <si>
    <t>MODEULINEAR SLOT SUPPLY CEILING DIFFUSER: LSD (2-24")
CFM: 150</t>
  </si>
  <si>
    <t>MODEULINEAR SLOT RETURN CEILING DIFFUSER: LSR (3-48")
CFM: 350</t>
  </si>
  <si>
    <t>24"x24" SUPPLY AIR DIFFUSER
CFM: 80
NECK SIZE: 6"DIA</t>
  </si>
  <si>
    <t>12"x12" SUPPLY AIR DIFFUSER
CFM: 65
NECK SIZE: 6"DIA</t>
  </si>
  <si>
    <t>24"x24" SUPPLY AIR DIFFUSER
CFM: 60
NECK SIZE: 6"DIA</t>
  </si>
  <si>
    <t>24"x24" SUPPLY AIR DIFFUSER
CFM: 160
NECK SIZE: 8"DIA</t>
  </si>
  <si>
    <t>24"x24" SUPPLY AIR DIFFUSER
CFM: 370
NECK SIZE: 12"DIA</t>
  </si>
  <si>
    <t>24"x24" SUPPLY AIR DIFFUSER
CFM: 240
NECK SIZE: 10"DIA</t>
  </si>
  <si>
    <t>M301</t>
  </si>
  <si>
    <t>EF-1: EXHAUST FAN
MFR: GREENHECK
MODEL: SP-B90
CFM: 55
SPEC: 120V/1PH/60HZ, 17W</t>
  </si>
  <si>
    <t>EF-2: EXHAUST FAN
MFR: GREENHECK
MODEL: SP-B110
CFM: 80
SPEC: 120V/1PH/60HZ, 30W</t>
  </si>
  <si>
    <t>EF-3: EXHAUST FAN
MFR: GREENHECK
MODEL: SP-B110
CFM: 80
SPEC: 120V/1PH/60HZ, 30W</t>
  </si>
  <si>
    <t>RTU-1: ROOFTOP HEAT PUMP UNIT
MFR: CARRIER
MODEL: 48FRDA05J3M5-8W4D0
CFM: 1600
FILTER: MERV 13
CAPACITY: 52.33 MBH
MBH: 67
VOLT: 208V
WEIGHT: 797 LBS</t>
  </si>
  <si>
    <t>RTU-2: ROOFTOP HEAT PUMP UNIT
MFR: CARRIER
MODEL: 48FRDA05J3M5-8W4D0
CFM: 1600
FILTER: MERV 13
CAPACITY: 52.33 MBH
MBH: 67
VOLT: 208V
WEIGHT: 797 LBS</t>
  </si>
  <si>
    <t>M302</t>
  </si>
  <si>
    <t>AIR CONDITIONER</t>
  </si>
  <si>
    <t>MINI SPLIT SYSTEM AIR CONDITIONER
UNIT: INDOOR &amp; OUTDOOR
MFR: MITSUBISHI
INDOOR MODEL: PKA-A12LNL
OUTDOOR: PUZ-A12NL
COOLING CAPACITY: 12,200 BTU/H
HEATING CAPACITY: 18,000 BTU/H
SPEC: 208/230V, 1-PHASE, 60HZ</t>
  </si>
  <si>
    <t>DAMPER</t>
  </si>
  <si>
    <t>M301, M302</t>
  </si>
  <si>
    <t>ALLOWANCE PROVIDED FOR FITTINGS
AREA: 2000 SF</t>
  </si>
  <si>
    <t>SANITARY PIING</t>
  </si>
  <si>
    <t>3"DIA STORM PIPE</t>
  </si>
  <si>
    <t>4"DIA STORM PIPE</t>
  </si>
  <si>
    <t>1-1/2"DIA SANITARY PIPE</t>
  </si>
  <si>
    <t>3"DIA SANITARY PIPE</t>
  </si>
  <si>
    <t>4"DIA SANITARY PIPE</t>
  </si>
  <si>
    <t>2"DIA VENT PIPE</t>
  </si>
  <si>
    <t>3"DIA VENT PIPE</t>
  </si>
  <si>
    <t>4"DIA VENT PIPE</t>
  </si>
  <si>
    <t>1-1/4"DIA COLD WATER PIPE</t>
  </si>
  <si>
    <t>1"DIA COLD WATER PIPE</t>
  </si>
  <si>
    <t>3/4"DIA COLD WATER PIPE</t>
  </si>
  <si>
    <t>1"DIA HOT WATER PIPE</t>
  </si>
  <si>
    <t>CONDENSATE PIPE</t>
  </si>
  <si>
    <t>1-1/2"DIA CONDENSATE DRAIN PIPE, DIA ASSUMED</t>
  </si>
  <si>
    <t>GAS PIPING</t>
  </si>
  <si>
    <t>1"DIA GAS PIPE</t>
  </si>
  <si>
    <t>1"DIA NATURAL GAS PIPE</t>
  </si>
  <si>
    <t>3/4"DIA GAS PIPE</t>
  </si>
  <si>
    <t>ISOLATION &amp; BALANCING VALVE</t>
  </si>
  <si>
    <t>SHUT-OFF VALVE</t>
  </si>
  <si>
    <t>MANUAL SHUT-OFF VALVE</t>
  </si>
  <si>
    <t>NATURAL GAS METER BY GAS COMPANY</t>
  </si>
  <si>
    <t>HYDRANT</t>
  </si>
  <si>
    <t>FILTER SYSTEM</t>
  </si>
  <si>
    <t>GAS METER</t>
  </si>
  <si>
    <t>PIPE MATERIAL: SCHEDULE 40 PVC PLASTIC</t>
  </si>
  <si>
    <t>1/2"DIA COLD WATER PIPE, TYPE K COPPER</t>
  </si>
  <si>
    <t>ALLOWANCE PROVIDED FOR FITTING &amp; VALVES
ALLOWANCE: 2000 SF</t>
  </si>
  <si>
    <t>WC: WATER CLOSET - ADA COMPLIANT   
MODEL: KOHLER K-3519-T-0   
NOTE: FLOOR MOUNTED (1.0 GPF) VITREOUS CHINA, ELONGATED BOWL, AND TANK COVER LOCKS. PROVIDE BEMIS 1655SSCT SEAT WITH SELF-SUSTAINING STAINLESS STEEL CHECK HINGE. PROVIDE KOHLER K-7637 3/8" ANGLE SUPPLY WITH STOP AND ESCUTCHEON</t>
  </si>
  <si>
    <t>EDF: WATER COOLER - HILOW ADA COMPLIANT   
MODEL: ELKAY EZSTL8C   
NOTE: BI-LEVEL, STAINLESS STEEL CABINET, WITH WATERWAYS MANUFACTURED OF 100% LEAD FREE MATERIAL, ZURN Z1225 FIXTURE SUPPORT, BALL VALVE STOP WITH SUPPLY, SAFETY-GUARD BUBBLER. MCGUIRE #8872 P-TRAP. FULLY INSULATE P-TRAP. MOUNT WITH LOWER SPOUT OUTLET 36" ABOVE FINISH FLOOR. PROVIDE COLOR CHART FOR ARCHITECT COLOR SELECTION. PROVIDE WITH ELKAY MODEL #LKAPREZL CANE APRON AS REQUIRED</t>
  </si>
  <si>
    <t>CP: CIRCULATION PUMP
MODEL: TACO 006-ST4
MOTOR: 1/40
RPM: 3250
SPEC: 115V/1PH/60HZ</t>
  </si>
  <si>
    <t>EWH: ELECTRIC WATER HEATER
MFR: LOCHINVAR
MODEL: LDJ-10-JE
CAPACITY: 10 GAL
- 2.5KW, 208V/1PH/60HZ</t>
  </si>
  <si>
    <t xml:space="preserve">FCO: CLEAN-OUT (FLOOR)   
MODEL: J.R. SMITH #4023S(INSIDE) #4240 (OUTSIDE)   
NOTE: INTERIOR 3/4" DIA, MEDIUM-DUTY CAST IRON FLOOR MOUNTED CLEANOUT WITH ROUND ADJUSTABLE SCORIATED SECURED NICKEL BRONZE TOP. TAPER THREAD. PROVIDE PVC PLUG WHERE PERMITTED BY LOCAL CODES; OTHERWISE, PROVIDE BRONZE PLUG. DRAIN PER PLAN.  </t>
  </si>
  <si>
    <t xml:space="preserve">FL: FLOOR DRAIN   MODEL: J.R. SMITH #2010   NOTE: 6" ROUND NICKEL BRONZE GRATE. PROVIDE WITH TRAP PRIMER CONNECTION. PROVIDE WITH J.R. SMITH TRAP INSERT.  </t>
  </si>
  <si>
    <t>CD: CANOPY DRAIN
MODEL: ZURN ZRB185
NOTE: 6-INCH DIAMETER CORNICE DRAIN FEATURING DURA-COATED CAST IRON CONSTRUCTION, SIDE OUTLET, PLAIN BRONZE DOME, AND MEMBRANE FLASHING CLAMP</t>
  </si>
  <si>
    <t xml:space="preserve">HB: HOSE BIB
MODEL: J.R. SMITH 5609-KH.
DESCRIPTION: PROVIDED WITH A DRAIN TUBE PIPED TO THE NEAREST DRAIN / FLOOR DRAIN RECEPTOR, USING COPPER PIPING TO THE NEAREST OPEN DRAIN.  </t>
  </si>
  <si>
    <t>LAV: LAVATORY - ADA COMPLIANT   
MODEL: KOHLER K-2005 COMPLETE   
NOTE: WALL HUNG ADA COMPLIANT LAVATORY, PROVIDE WITH K7715 OUTLET WITH TAILPIECE, ZURN Z1231 FIXTURE SUPPORT, MCGUIRE ST02LK SUPPLIES WITH STOPS AND MCGUIRE #8902 P-TRAP. INSULATE P-TRAP, STOPS AND SUPPLIES WITH "PRO-WRAP" BY MCGUIRE. MOUNT WITH RIM MAXIMUM 34" AFF   
LAVATORY - (BATTERY) FAUCET   
MODEL: ZURN AQUASENSE Z6915-XL   
NOTE: BATTERY SENSOR ACTIVATED FAUCET WITH 0.5 GPM SPOUT AERATOR. PROVIDE WITH KOHLER K-7129-A DRAIN AND SYMMONS 2-225-CK-MS MIXING BELOW SINK, ADJUSTED TO PROVIDE 105F TO HOT WATER SIDE OF FAUCET</t>
  </si>
  <si>
    <t>MS: MOP SINK BASIN   
MODEL: FIAT MSK-2424   
NOTE: 24"X24"X10" FIBERGLASS OR SIMILAR AND E77-AA BUMPER GUARD. T-35 HOSE WITH WALL HOOK, STAINLESS STEEL BACKSPLASH AND KOHLER K-8907 WITH VACUUM BREAKER. REFER TO ARCHITECTURAL ELEVAITONS FOR FRP HEIGHTS   
WALL FAUCET   
MODEL: KOHLER K-837T60-4-CP   
NOTE: TRITON BOWE SERVICE SINK FAUCET, WALL-TO-SPOUT OUTLET WITH WALL BRACE AND PAIL HOOK</t>
  </si>
  <si>
    <t>OD: OVERFLOW DRAIN
MODEL: J.R. SMITH #1080
NOTE: FEATURES A SUMP RECEIVER, UNDER-DECK CLAMP, 2-INCH EXTERNAL DAM, AND CAST IRON OR ALUMINUM DOME.</t>
  </si>
  <si>
    <t>RD: ROOF DRAIN
MODEL: J.R. SMITH #1011
NOTE: EQUIPPED WITH A SUMP RECEIVER, UNDER-DECK CLAMP, AND A DOME MADE OF CAST IRON OR ALUMINUM. ENCLOSE WITH A 4-INCH-HIGH, 1/16-INCH-THICK PERFORATED STAINLESS STEEL GRAVEL GUARD.</t>
  </si>
  <si>
    <t>RH: ROOF HYDRANT
MODEL: JR SMITH #5906-H
NOTE: INCLUDES A DRAIN TUBE ROUTED TO THE CLOSEST DRAIN. DRAIN PIPING SHOULD BE COPPER DIRECTED TO A NEARBY DRAIN OR JANITOR'S RECEPTOR.</t>
  </si>
  <si>
    <t>SK-T: TOP-MOUNTED LOUNGE SINK
MODEL: BELAY LRAD-2219
NOTE: SINK DRAIN OFFSET TO BACK, PROVIDE WITH LK-35 STRAINER, MCGUIRE# 1912 P-TRAP &amp; #165 STOPS W/ SUPPLIES
LOUNGE FAUCET 
MODEL: SYMMONS DIA S-3510-PD 
NOTE: 1.0 GPM FAUCET, PROVIDE WITH KOHLER K-18036 0.5GPM FEMALE AERATOR</t>
  </si>
  <si>
    <t xml:space="preserve">SK-U: UNDER-MOUNT LIBRARY SINK   
MODEL: ELKAY DCFU1618   
NOTE: SINGLE BOWL CENTERED DRAIN OFFSET TO BACK, PROVIDE WITH LK-35 STRAINER, MCGUIRE #1912 P-TRAP AND #165 STOPS WITH SUPPLIES  
LIBRARY FAUCET   
MODEL: SYMMONS DIA S-3510-PD   
NOTE: 1.0 GPM FAUCET, PROVIDE WITH KOHLER K-18036 0.5GPM FEMALE AERATOR </t>
  </si>
  <si>
    <t>VB: WALL VALVE BOX
MODEL: OATEY 38689
NOTE: STEEL WALL-MOUNTED ENCLOSURE FITTED WITH A 1/4-TURN BRASS BALL VALVE FOR CONNECTING COUNTERTOP DRINKING EQUIPMENT.</t>
  </si>
  <si>
    <t>DB: DRAIN BOX
MODEL: SIOUX CHIEF MODEL #696-3F
NOTE: FURNISH DRAIN BOX EQUIPPED WITH A LOUVERED COVER (#696-LC), SECONDARY DRAINAGE FUNNEL (#696-CF), AND J.R. SMITH TRAP SEAL INSERT. INCLUDES WALL FLANGE AND LOUVER. ROUTE INDIRECT PIPE INSIDE THE WALL TO THE DRAIN BOX. COORDINATE EXACT PLACEMENT WITH THE ARCHITECT AND GC</t>
  </si>
  <si>
    <t>DSN: DOWNSPOUT NOZZLE
MODEL: J.R. SMITH #1770
NOTE: DOWNSPOUT NOZZLE MOUNTED 1'-0" ABOVE FINISHED GRADE. VERIFY LOCATION WITH ARCHITECT AND ENSURE PROTRUSION REMAINS UNDER 4 INCHES TO MEET ADA GUIDELINES.</t>
  </si>
  <si>
    <t>WH: WALL HYDRANT
MODEL: J.R. SMITH #5509-QT
NOTE: INCLUDES BUILT-IN BACKFLOW PREVENTER, LATCHING COVER, FREEZE-PROOF DESIGN, AND CORRECT WALL LENGTH. FEATURES AN ALL-BRONZE BOX WITH THE VALVE SEAT POSITIONED ON THE INTERIOR SIDE OF THE WALL INSULATION. INSTALL AT A CENTERLINE HEIGHT OF 24 INCHES ABOVE FINISHED GRADE. SUPPLY OWNER WITH ONE LOOSE KEY PER UNIT.</t>
  </si>
  <si>
    <t xml:space="preserve">STANDARD FILTER SIMILAR TO "WHIRLPOOL LARGE CAPACITY 10"X4.5" WHOLE HOUSE FILTER SYSTEM WHKF-DWHBB", CONTRACTOR TO INSTALL 10-MICROM FILTER </t>
  </si>
  <si>
    <t>BOXES</t>
  </si>
  <si>
    <t>CLEAN OUT</t>
  </si>
  <si>
    <t>HOSE BIB</t>
  </si>
  <si>
    <t>DOWNSPOUT NOZZLE</t>
  </si>
  <si>
    <t>P301 - P303</t>
  </si>
  <si>
    <t>P301, P402</t>
  </si>
  <si>
    <t>P302</t>
  </si>
  <si>
    <t>P402</t>
  </si>
  <si>
    <t>P101 - P501</t>
  </si>
  <si>
    <t>P403</t>
  </si>
  <si>
    <t>3/4"DIA GAS PIPE, SAFETY YELLOW PAINT</t>
  </si>
  <si>
    <t>1"DIA GAS PIPE, SAFETY YELLOW PAINT</t>
  </si>
  <si>
    <t>SITE WORK</t>
  </si>
  <si>
    <t>120V, 20A TOGGLE SWITCH IN METALLIC BELL BOX W/ METALLIC WEATHERPROOF COVER</t>
  </si>
  <si>
    <t>SERVICE DISCONNECT SWITCH</t>
  </si>
  <si>
    <t>120V, 20A GFCI WEATHER RESISTANT DUPLEX RECEPTACLE</t>
  </si>
  <si>
    <t>ELECTRIC UTILITY METER</t>
  </si>
  <si>
    <t>DDCV HOT BOX</t>
  </si>
  <si>
    <t>(2) 4"DIA CONDUIT</t>
  </si>
  <si>
    <t>1"DIA CONDUIT</t>
  </si>
  <si>
    <t>(2) 2"DIA CONDUIT</t>
  </si>
  <si>
    <t>(2) 5"DIA CONDUIT</t>
  </si>
  <si>
    <t>STUBOUT &amp; TERMINATE PER UTILITY COMPANY REQUIREMENTS, INCLUDE COST IN BID</t>
  </si>
  <si>
    <t>LIGHT</t>
  </si>
  <si>
    <t>RECEPTACLE</t>
  </si>
  <si>
    <t>TRANSFORMER</t>
  </si>
  <si>
    <t>METER &amp; JUNCTION BOX</t>
  </si>
  <si>
    <t>CONDUIT</t>
  </si>
  <si>
    <t>E010 - E011</t>
  </si>
  <si>
    <t xml:space="preserve">1P4F LIGHT: LED FULL CUTOFF AREA LUMINAIRE, 15000 LUMENS, FORWARD DISTRIBUTION, ALUMINUM HOUSING, UL LISTED FOR WET LOCATION. 1HEAD
MFR: GE/LSI (POLE)
MODEL: EALS 04 2 F4 AF 7 40 X D D 1 DKBZ
VOLTS: 120-277
WATT: 116
POLE: 4SQB5 S07G ** D180 BRZ 4BC 27'-6"
NOTE: MOUNTED ON POLE </t>
  </si>
  <si>
    <r>
      <t xml:space="preserve">2P4DA LIGHT: LED FULL CUTOFF AREA LUMINAIRE, 10000 LUMENS, FORWARD DISTRIBUTION, ALUMINUM HOUSING
MODEL: EALS 04 2 D4 AF 7 40 X D D1 DKBZ
VOLTS: 120-277
WATT: 140
POLE: 4SQB5 S07G ** D180 BRZ 4BC 27'-6"
</t>
    </r>
    <r>
      <rPr>
        <b/>
        <sz val="10"/>
        <rFont val="Calibri"/>
        <family val="2"/>
        <scheme val="minor"/>
      </rPr>
      <t>NOTE:</t>
    </r>
    <r>
      <rPr>
        <sz val="10"/>
        <rFont val="Calibri"/>
        <family val="2"/>
        <scheme val="minor"/>
      </rPr>
      <t xml:space="preserve"> MOUNTED ON POLE </t>
    </r>
  </si>
  <si>
    <t>SAFETY SWITCH, 30A, 3 POLE, FUSED @ 20A</t>
  </si>
  <si>
    <t xml:space="preserve">TRANSFORMER </t>
  </si>
  <si>
    <t>DUPLEX RECEPTACLE, 20A, 125V</t>
  </si>
  <si>
    <t>GFCI DUPLEX RECEPTACLE, 20A, 125V</t>
  </si>
  <si>
    <t>QUAD RECEPTACLE, 20A, 125V</t>
  </si>
  <si>
    <t>TEMPER RESISTANT GFCI DUPLEX RECEPTACLE, 20A, 125V</t>
  </si>
  <si>
    <t>TAMPER RESISTANT QUAD RECEPTACLE, 20A, 125V</t>
  </si>
  <si>
    <t>SIMPLEX LEFT RECEPTACLE, 20A, 125V</t>
  </si>
  <si>
    <t>TAMPER RESISTANT DUPLEX RECEPTACLE, 20A, 125V W/ BLACK COVER PLATE</t>
  </si>
  <si>
    <t>TEMPER RESISTANT GFCI DUPLEX RECEPTACLE, 20A, 125V_x000D_
- PROVIDE FACTORY ENGRAVED COVER PLATE W/ GFCI PROTECTED LABEL</t>
  </si>
  <si>
    <t>GFCI DUPLEX RECEPTACLE, 20A, 125V_x000D_
- PROVIDE FACTORY ENGRAVED COVER PLATE W/ GFCI PROTECTED LABEL</t>
  </si>
  <si>
    <t>DUPLEX RECEPTACLE, 20A, 125V W/ COVER PLATE</t>
  </si>
  <si>
    <t xml:space="preserve">GFCI WEATHERPROOF DUPLEX RECEPTACLE, 20A 120V W/ METALLIC COVER </t>
  </si>
  <si>
    <t>QUAD RECEPTACLE 20A, 125V</t>
  </si>
  <si>
    <t>DUPLEX RECEPTACLE, SURGE PROTECTIVE (LEVITON T5380W) 20A, 125V</t>
  </si>
  <si>
    <t>USB DUPLEX RECEPTACLE, 20A, 125V</t>
  </si>
  <si>
    <t>TEMPER RESISTANT DUPLEX RECEPTACLE, 20A, 125V</t>
  </si>
  <si>
    <t>TEMPER RESISTANT DUPLEX RECEPTACLE, 20A, 125V_x000D_
- PROVIDE FACTORY ENGRAVED COVER PLATE W/ GFCI PROTECTED LABEL</t>
  </si>
  <si>
    <t>20A, 125V QUAD RECEPTACLE W/ BLACK DEVICE &amp; COVER PLATES</t>
  </si>
  <si>
    <t>USB DUPLEX RECEPTACLE, 20A, 125V W/ BLACK DEVICE &amp; COVER PLATES</t>
  </si>
  <si>
    <t>COMBINATION DATA OUTLET</t>
  </si>
  <si>
    <t>COMBINATION DATA OUTLET W/ BLACK COVER PLATE</t>
  </si>
  <si>
    <t>COMBINATION DATA OUTLET W/ BLACK DEVICE &amp; COVER PLATE</t>
  </si>
  <si>
    <t>USB DUPLEX RECETACLE, 20A, 125V 
- PROVIDE USB TYPE A &amp; TYPE C OUTLET, LEGRAND R26USBACWCCV6</t>
  </si>
  <si>
    <t>3-POLE DISCONNECT SWITCH</t>
  </si>
  <si>
    <t>SINGLE SWITCH, 120/277V, TOOGLE TYPE</t>
  </si>
  <si>
    <t>MOTOR RATED SINGLE SWITCH, 120/277V, TOOGLE TYPE</t>
  </si>
  <si>
    <t>WEATHERPROOF SINGLE SWITCH, 120/277V, TOOGLE TYPE</t>
  </si>
  <si>
    <t>20/2 NF DISCONNECT SWITCH</t>
  </si>
  <si>
    <t>DISCONNECT SWITCH, PROVIDE NEMA 3R FUSIBLE DISCONNECT SWITCH</t>
  </si>
  <si>
    <t>SWITCH BANK FOR SWITCHES</t>
  </si>
  <si>
    <t>LOW VOLTAGE DIMMING OVERRIDE SWITCH W/ COVER PLATE</t>
  </si>
  <si>
    <t>OPEN/CLOSE GANG SWITCH W/ (1) COVER PLATE FOR BOTH</t>
  </si>
  <si>
    <t>DIMMER SWITCH, 20A, 120/277V</t>
  </si>
  <si>
    <t>LOW VOLTAGE DIMMER SWITCH</t>
  </si>
  <si>
    <t>SINGLE SWITCH 20A, 120/277V</t>
  </si>
  <si>
    <t>LOW VOLTAGE 2-HOUR MANUAL OVERRIDE SWITCH</t>
  </si>
  <si>
    <t>LOW VOLTAGE 2-HOUR MANUAL OVERRIDE DIMMER SWITCH</t>
  </si>
  <si>
    <t>MECHOSHADES CONTROL SWITCH</t>
  </si>
  <si>
    <t>VOLUMN CONTROL SWITCH BY OTHERS, GC TO INSTALL ONLY</t>
  </si>
  <si>
    <t>MOTION SENSOR, ASSUMED</t>
  </si>
  <si>
    <t>OCCUPANCY SENSOR</t>
  </si>
  <si>
    <t>JUNCTION BOX W/ 2"W CUTIN BOX</t>
  </si>
  <si>
    <t>4" SQUARE JUNCTION BOX</t>
  </si>
  <si>
    <t>JUNCTION BOX W/ DOUBLE GANG, DEEP JBOX</t>
  </si>
  <si>
    <t>WEATHER PROOF JUNCTION BOX</t>
  </si>
  <si>
    <t>PANEL PP_x000D_
VOLTAGE: 208/120_x000D_
PHASE: 3_x000D_
AMP: 400_x000D_
MAIN: MCB</t>
  </si>
  <si>
    <t>PANEL RP-A_x000D_
VOLTAGE: 208/120_x000D_
PHASE: 3_x000D_
AMP: MLO_x000D_
MAIN: 225</t>
  </si>
  <si>
    <t>PANEL</t>
  </si>
  <si>
    <t>INTERNET OF TEAM BMS LCP-SA LIGHTING CONTROL PANEL</t>
  </si>
  <si>
    <t>OUTLET BOX HOOD</t>
  </si>
  <si>
    <t>WIRED REMOTE CONTROLLER</t>
  </si>
  <si>
    <t>PUSH BUTTON W/ 2"W CUTIN BOX</t>
  </si>
  <si>
    <t>PUSH BUTTON W/ GANG DOOR PUSH PLATE &amp; ELECTRIC BOX FOR PUSH PLATE</t>
  </si>
  <si>
    <t>RECESSED FLOOR BOX LEGRAND WIREMOLD #RFBA4C300G, RFBADP, RFBA24C4EXT, 2 HUB, RFBA6A, RFBMAAP, 6CTC2GY</t>
  </si>
  <si>
    <t>DIMMABLE POWER PACK LIGHTING CONTROL DEVICE</t>
  </si>
  <si>
    <t>PITCH POCKET</t>
  </si>
  <si>
    <t>1-GANG BOX</t>
  </si>
  <si>
    <t>RECESSED ELECTRICAL BOX (ARLINGTON BOXES TVBS507 3-GANG)</t>
  </si>
  <si>
    <t>(4) 3/4"DIA IMC CONDUIT</t>
  </si>
  <si>
    <t>(4) 2"DIA IMC W/ STRING CONDUIT</t>
  </si>
  <si>
    <t>PHOTOSENSOR</t>
  </si>
  <si>
    <t>DRIVE THRU ALERT LIGHT</t>
  </si>
  <si>
    <t>AE: 2' X 2' LED RECESSED LUMINAIRE, TRANSMITTANCE DIFFUSER WITH CONCAVE RIBBED REFRACTOR, L90/60,000, STEEL HOUSING, 010V DIMMING DRIVER WITH EMERGENCY BATTERY BACKUP
MFR: GE
MODEL: LVT-22-B-0-33-MM-835-VQ-LT-WHTE-EL
MOUNTING: RECESSED
LAMP: LED
VOLTS: 120
WATTS: 29</t>
  </si>
  <si>
    <t>AE: 2' X 2' LED RECESSED LUMINAIRE, TRANSMITTANCE DIFFUSER WITH CONCAVE RIBBED REFRACTOR, L90/60,000, STEEL HOUSING, 010V DIMMING DRIVER 
MFR: GE
MODEL: LVT-22-B-0-33-MM-835-VQ-LT-WHTE
MOUNTING: RECESSED
LAMP: LED
VOLTS: 120
WATTS: 29</t>
  </si>
  <si>
    <t>B: RECESSED EXTRUDED ALUMINUM, 010V DIMMING STANDARD, LENSED DIFFUSER, STANDARD OUTPUT, HE TECH OPTICS, MUD OVER FLANGE
MFR: CORONET
MODEL: LSR4-8-35-LTG2-UNV-DB-W-NT-SD
MOUNTING: RECESSED
LAMP: LED
VOLTS: 120</t>
  </si>
  <si>
    <t>C: TACADA PENDANT, BLACK CORD, AGED BRASS HARDWARE SEE REFLECTED CEILING PLANS FOR PENDANT LENGTHS.
MFR: MICHAEL OREN
MODEL: 700TDDALVPMC-B-R-LEDWD
MOUNTING: PENDANT
LAMP: LED
VOLTS: 120</t>
  </si>
  <si>
    <t xml:space="preserve">F3: WALL MOUNTED 3' LED STRIPLIGHT WITH DIFFUSED LENS AND STEEL HOUSING
MFR: LSI
MODEL: PST-3-3-47L-FAD-UNV-835-GWT
MOUNTING: WALL MOUNT (ABOVE DOOR)
LAMP: LED
VOLTS: 120 </t>
  </si>
  <si>
    <t>FEM: 48" SUSPENDED STRIP LIGHT, ACRYLIC DROP LENS, 80 CRI, WHITE FINISH, AIRCRAFT CABLE MOUNTING, WIREGUARD WITH EMERGENCY BATTERY BACKUP
MFR: GE
MODEL: ALV2-0-4T-03-T-C8-1D-S-Q-Q-E-51-A-Q-W
MOUNTING: SUSPENDED
LAMP: LED
VOLTS: 120</t>
  </si>
  <si>
    <t xml:space="preserve">G: LINEAR LED COVE WALL WASHER, 5W/ft, MEDIUM OUTPUT, 30 X 80 LENS VIEWING ANGLE, 80CRI
MFR: GE
MODEL: L-LW-SO-B-0-04-CV-8-35-V-Q-TM-WHITE (LENGTH AS SPECIFIED ON PLANS)
MOUNTING: COVE
LAMP: LED
VOLTS: 120   </t>
  </si>
  <si>
    <t xml:space="preserve">G1: RECESSED LED OPEN ROUND DOWNLIGHT, 5" DIA. APERTURE, WIDE BEAM SPREAD,SEMI-DIFFUSED REFLECTOR FINISH. U.L. LISTED WET LOCATION
MFR: CSL
MODEL: ED5AIC-359050-16-S; ED5-RFWLWT; ED5-TC2
MOUNTING: RECESSED
LAMP: LED
VOLTS: 120 </t>
  </si>
  <si>
    <t xml:space="preserve">GEM: RECESSED LED OPEN ROUND DOWNLIGHT, 5" DIA. APERTURE, WIDE BEAM SPREAD, SEMI-DIFFUSED REFLECTOR FINISH. U.L. LISTED WET LOCATION WITH EMERGENCY BATTERY BACKUP
MFR: CSL
MODEL: ED5AIC-359050-16-S; ED5-RFWLWT; ED5-TC2; EM-1006
MOUNTING: RECESSED
LAMP: LED
VOLTS: 120   </t>
  </si>
  <si>
    <t>120   J: 6" SQUARE DOWNLIGHT, 010V DIMMING DRIVER, SEMISPECULAR, CLEAR REFLECTOR.
MFR: GE
MODEL: LDX-6S-A-1-15-T-35-VQ / RD-I6S-W-SD-WT
MOUNTING: RECESSED
LAMP: LED
VOLTS: 120</t>
  </si>
  <si>
    <t xml:space="preserve">JE: 6" SQUARE DOWNLIGHT, 010V DIMMING DRIVER, SEMISPECULAR, CLEAR REFLECTOR WITH EMERGENCY BATTERY BACKUP
MFR: GE
MODEL: LDX-6S-A-1-15-T-35-VQ-EL / RD-I6S-WSD-WT
MOUNTING: RECESSED
LAMP: LED
VOLTS: 120 </t>
  </si>
  <si>
    <t xml:space="preserve">PB: PARAVO PENDANT FIXTURE WHITE FINISH FIBERGLASS SHADE, ALUMINUM EXOSTRUCTURE, FROSTED GLASS PLATE DIFFUSER, MEDIUM BASE LED A21 2700K DIMMABLE LAMP
MFR: TECH LIGHTING
MODEL: 700TDPRVP-WW-LED927
MOUNTING: PENDANT
LAMP: LED
VOLTS: 120   </t>
  </si>
  <si>
    <t xml:space="preserve">S: STRIP LED, 4' LENGTH, DIFFUSING LENS, MEDIUM WARM CCT, DIMMABLE REMOTE DRIVER. 96W LED DRIVER POWER SUPPLY.
MFR: NOVA FLEX
MODEL: DES-LED-SWH-24-3.0-IP20-35 / CHN-SUR-2217-SL-SOFT-2M / NF-PS-UNV-80W-24V
MOUNTING: RECESSED
LAMP: LED
VOLTS: 120   </t>
  </si>
  <si>
    <t>T: TBAR LED, 2' LENGTH, DIFFUSING LENS, MEDIUM WARM CCT, DIMMABLE REMOTE DRIVER. 30W POWER SUPPLY
MFR: SLG LIGHTING
MODEL: TG-2-13-W-G1-35K / TG-2-30W
MOUNTING: RECESSED
LAMP: LED
VOLTS: 120</t>
  </si>
  <si>
    <t xml:space="preserve">TE: TBAR LED, 2' LENGTH, DIFFUSING LENS, MEDIUM WARM CCT, DIMMABLE REMOTE DRIVER. 30W POWER SUPPLY WITH EMERGENCY BATTERY BACKUP
MFR: SLG LIGHTING
MODEL: TG-2-13-W-G1-35K / TG-2-30W-EMH--8
MOUNTING: RECESSED
LAMP: LED
VOLTS: 120   </t>
  </si>
  <si>
    <t xml:space="preserve">U1: INGROUND LED, WALKOVER COMPLIANT, IP68 RATED, ASYMMETRIC WALLWASH WITH ANTISLIP LENS
MFR: LUMENFACADE
MODEL: LOI RO-120-12-35K-WW-NO-ASL
MOUNTING: RECESSED
LAMP: LED
VOLTS: 120   </t>
  </si>
  <si>
    <t xml:space="preserve">U3: INGROUND LED, WALKOVER COMPLIANT, IP68 RATED, ASYMMETRIC WALLWASH WITH ANTISLIP LENS.
MFR: LUMENFACADE
MODEL: LOI RO-120-36-35K-WW-NO-ASL
MOUNTING: RECESSED
LAMP: LED
VOLTS: 120   </t>
  </si>
  <si>
    <t xml:space="preserve">UC: STRIP LED, PERMANENT HOUSING LENGTH WITH LED TAPE THAT SHALL BE FIELD CUT TO THE SIZE OF THE HOUSING, DIFFUSING LENDS, MEDIUM WARM CCT, DIMMABLE REMOTE DRIVER, 80W LED DRIVER POWER SUPPLY.
MFR: NOVA FLEX
MODEL: DES-LED-HO-24V-3.0-IP20-35; NF-CH-1707-SL-SOFT-2M; NF-PS-UNV-80W-24V (LENGTH AS SPECIFIED ON PLANS)
MOUNTING: UNDER CABINET
LAMP: LED
VOLTS: 120   </t>
  </si>
  <si>
    <t xml:space="preserve">X1: LED EDGE LIT EXIT SIGN, SINGLE FACE, RECESSED IN THE CEILING
MFR: EVENLITE
MODEL: SOVII-EM-R-1M-BA-RC-UC-FP-FT
MOUNTING: RECESSED
LAMP: LED
VOLTS: 120   </t>
  </si>
  <si>
    <t xml:space="preserve">X2: LED EDGE LIT EXIT SIGN, SINGLE FACE, SURFACE WALL MOUNTED
MFR: EVENLITE
MODEL: SOVII-EM-R-1M-BA-SW-UC-FP
MOUNTING: RECESSED
LAMP: LED
VOLTS: 120   </t>
  </si>
  <si>
    <t>X3: NORMALLY OFF, EMERGENCY EGRESS CONCEALED WALLPACK
MFR: EVENLITE
MODEL: APLNCUI
MOUNTING: RECESSED
LAMP: LED
VOLTS: 120</t>
  </si>
  <si>
    <t>DIV. 28</t>
  </si>
  <si>
    <t>ELECTRONIC SAFETY AND SECURITY</t>
  </si>
  <si>
    <t xml:space="preserve">4: CARD READER   </t>
  </si>
  <si>
    <t xml:space="preserve">5: VIDEO MONITOR   </t>
  </si>
  <si>
    <t xml:space="preserve">6: ELECTRIC STRIKE WITH LBM   </t>
  </si>
  <si>
    <t xml:space="preserve">7: MOTION DETECTOR (TO SHUNT DOOR CONTACT)   </t>
  </si>
  <si>
    <t xml:space="preserve">8: ALARM LAMP/INDICATOR LIGHT   </t>
  </si>
  <si>
    <t xml:space="preserve">9: 360 MOTION DETECTOR   </t>
  </si>
  <si>
    <t xml:space="preserve">10: HOLD UP BUTTON   </t>
  </si>
  <si>
    <t xml:space="preserve">11: TEMPERATURE SENSOR   </t>
  </si>
  <si>
    <t xml:space="preserve">12: DOOR CONTACT   </t>
  </si>
  <si>
    <t xml:space="preserve">13: ALARM KEYPAD   </t>
  </si>
  <si>
    <t xml:space="preserve">14: ANALOG MINIATURE BOARD CAMERA   </t>
  </si>
  <si>
    <t xml:space="preserve">15: ROOF CONTACT   </t>
  </si>
  <si>
    <t xml:space="preserve">16: 360 IP DOME CAMERA   </t>
  </si>
  <si>
    <t xml:space="preserve">17: IP MINIATURE BOARD CAMERA   </t>
  </si>
  <si>
    <t xml:space="preserve">18: ALARM INTERFACE   </t>
  </si>
  <si>
    <t xml:space="preserve">19: NIGHT DEPOSIT   </t>
  </si>
  <si>
    <t>20: VENUS ROUTER</t>
  </si>
  <si>
    <t>ACCESS CONTROL</t>
  </si>
  <si>
    <t>VIDEO SURVEILLANCE</t>
  </si>
  <si>
    <t>2: NETWORK VIDEO RECORDER</t>
  </si>
  <si>
    <t>3: IP DOME CAMERA - INDOOR</t>
  </si>
  <si>
    <t>ELECTRONIC DETECTION AND ALARM</t>
  </si>
  <si>
    <t>E150</t>
  </si>
  <si>
    <t>ELECTRICAL SECURITY DEVICES</t>
  </si>
  <si>
    <t>ELECTRICAL FIRE ALARM DEVICES</t>
  </si>
  <si>
    <t>FIRE ALARM CONTROL PANEL</t>
  </si>
  <si>
    <t>FIRE ALARM ANNUCIATOR</t>
  </si>
  <si>
    <t>FIRE ALARM SMOKE DETECTOR</t>
  </si>
  <si>
    <t>FIRE ALARM PULL STATION</t>
  </si>
  <si>
    <t>FIRE ALARM ADA APPROVED HORN/STROBE ALARM</t>
  </si>
  <si>
    <t>FIRE ALARM ADA APPROVED VISUAL ALARM</t>
  </si>
  <si>
    <t>DIGITAL, ADDRESSABLE FIRE-ALARM SYSTEM</t>
  </si>
  <si>
    <t>SMOKE-DETECTORS</t>
  </si>
  <si>
    <t>MANUAL PULL STATIONS</t>
  </si>
  <si>
    <t>NOTIFICATION APPLIANCES</t>
  </si>
  <si>
    <t>MOOD MEDIA SWITCH</t>
  </si>
  <si>
    <t>ALLOWANCE PROVIDED FOR WIRE, CABLE &amp; CONDUIT FITTINGS
AREA: 2000 SF</t>
  </si>
  <si>
    <t>E160</t>
  </si>
  <si>
    <t>ALLOWANCE PROVIDED FOR WIRING, CONDUITS &amp; FITTINGS ETC
AREA: 2000 SF</t>
  </si>
  <si>
    <t>ELEC/IT ROOM ITEMS</t>
  </si>
  <si>
    <t>SECURITY PANEL</t>
  </si>
  <si>
    <t>TELECOMMUNICATION BOX</t>
  </si>
  <si>
    <t>DIGITAL ALARM COMMUNICATOR TRANSMITTER</t>
  </si>
  <si>
    <t>DIMMER PANEL</t>
  </si>
  <si>
    <t>PANDUIT TWO POST CABLE MANAGMENT RACK SYSTEM_x000D_
- PANDUIT VERTICAL CABLE MANAGER (PART# WMPV45E) &amp; PANDUIT HORIZONTAL CABLE MANAGER (PART # WMP1E)</t>
  </si>
  <si>
    <t>18" STEEL HOMACO LADDER RACK_x000D_
- DATA RACK W/ CABLE TRAY</t>
  </si>
  <si>
    <t>GROUND BUS BAR, 12"x2"x1/4" COPPER GROUND BAR W/ STANDOFF INSULATORS ON BACKBOARD</t>
  </si>
  <si>
    <t>E702</t>
  </si>
  <si>
    <t>E130</t>
  </si>
  <si>
    <t>E100</t>
  </si>
  <si>
    <t>E100 - E704</t>
  </si>
  <si>
    <t>3/4"THK. FIRE RATED PLYWOOD BACKBOARD AT IT ROOM</t>
  </si>
  <si>
    <t>CONCRETE PAD</t>
  </si>
  <si>
    <t>18"x18"x6"THK. CONCRETE PAD FOR CLEAN OUT</t>
  </si>
  <si>
    <t>2711 WATSON BOULEVARD WARNER ROBINS, GA 31093</t>
  </si>
  <si>
    <t>GROSS AREA: 2000 SF</t>
  </si>
  <si>
    <t>C-1.0</t>
  </si>
  <si>
    <t>1: REMOVE EXISTING CURB &amp; GUTTER</t>
  </si>
  <si>
    <t>2: REMOVE EXISTING TWO STORY BUILDING STRUCTURE AND FOUNDATION</t>
  </si>
  <si>
    <t>CFT</t>
  </si>
  <si>
    <t>2: REMOVE EXISTING ONE STORY BUILDING STRUCTURE AND FOUNDATION</t>
  </si>
  <si>
    <t>9: REMOVE EXISTING SIDEWALK</t>
  </si>
  <si>
    <t>10: REMOVE EXISTING  MONUMENT SIGN</t>
  </si>
  <si>
    <t xml:space="preserve">11: REMOVE EXISTING CONCRETE RAMP </t>
  </si>
  <si>
    <t>11: REMOVE EXISTING BRICK STAIR STEPS</t>
  </si>
  <si>
    <t>7: REMOVE EXISTING PAVEMENT W/ PAVEMENT STRIPING</t>
  </si>
  <si>
    <t xml:space="preserve">8: REMOVE EXISTING TREES/VEGETATION </t>
  </si>
  <si>
    <t>6: REMOVE EXISTING WATER LINE AND ASSOCIATED STRUCTURES</t>
  </si>
  <si>
    <t>5: REMOVE EXISTING POWER LINE AND ASSOCIATED STRUCTURES</t>
  </si>
  <si>
    <t>REMOVE EXISTING METAL HANDRAIL</t>
  </si>
  <si>
    <t>4: REMOVE EXISTING STORM SEWER LINE AND ASSOCIATED STRUCTURES - ASSUMED</t>
  </si>
  <si>
    <t>4: REMOVE EXISTING STORM STRUCTURE</t>
  </si>
  <si>
    <t>PAVEMENT</t>
  </si>
  <si>
    <t>C-3.0</t>
  </si>
  <si>
    <r>
      <rPr>
        <b/>
        <sz val="10"/>
        <rFont val="Calibri"/>
        <family val="2"/>
        <scheme val="minor"/>
      </rPr>
      <t>4: STANDARD DUTY ASPHALT PAVEMENT</t>
    </r>
    <r>
      <rPr>
        <sz val="10"/>
        <rFont val="Calibri"/>
        <family val="2"/>
        <scheme val="minor"/>
      </rPr>
      <t xml:space="preserve"> -</t>
    </r>
    <r>
      <rPr>
        <b/>
        <sz val="10"/>
        <rFont val="Calibri"/>
        <family val="2"/>
        <scheme val="minor"/>
      </rPr>
      <t xml:space="preserve"> </t>
    </r>
    <r>
      <rPr>
        <b/>
        <sz val="10"/>
        <color rgb="FFFF0000"/>
        <rFont val="Calibri"/>
        <family val="2"/>
        <scheme val="minor"/>
      </rPr>
      <t>ASSUMED DETAILS</t>
    </r>
    <r>
      <rPr>
        <sz val="10"/>
        <rFont val="Calibri"/>
        <family val="2"/>
        <scheme val="minor"/>
      </rPr>
      <t xml:space="preserve">
1.1/2" 9.5" F2 ASPHALT TOP SURFACE COURSE
3" 19 F9 ASPHALT BASE COURSE
12" THK COMPACTED SUBBASE MATERIAL, TYPE 2
SEPARATION GEOTEXTILE
COMPACTED SUBGRADE</t>
    </r>
  </si>
  <si>
    <r>
      <rPr>
        <b/>
        <sz val="10"/>
        <rFont val="Calibri"/>
        <family val="2"/>
        <scheme val="minor"/>
      </rPr>
      <t>3:HEAVY DUTY ASPHALT PAVEMENT -</t>
    </r>
    <r>
      <rPr>
        <b/>
        <sz val="10"/>
        <color rgb="FFFF0000"/>
        <rFont val="Calibri"/>
        <family val="2"/>
        <scheme val="minor"/>
      </rPr>
      <t xml:space="preserve"> ASSUMED DETAILS</t>
    </r>
    <r>
      <rPr>
        <b/>
        <sz val="10"/>
        <rFont val="Calibri"/>
        <family val="2"/>
        <scheme val="minor"/>
      </rPr>
      <t xml:space="preserve">
</t>
    </r>
    <r>
      <rPr>
        <sz val="10"/>
        <rFont val="Calibri"/>
        <family val="2"/>
        <scheme val="minor"/>
      </rPr>
      <t>1.1/2" 9.5" F2 Asphalt Top Surface Course
3" 19 F9 Asphalt Binder Course
4" 37.5 F9 Asphalt Base Course
12" THK COMPACTED SUBBASE MATERIAL, TYPE 2
SEPARATION GEOTEXTILE
COMPACTED SUBGRADE</t>
    </r>
  </si>
  <si>
    <t>21: 6" THK HEAVY DUTY CONCRETE PAVEMENT - FOR PARKING</t>
  </si>
  <si>
    <t>SIDEWALK</t>
  </si>
  <si>
    <t>4" HK CONCRETE SIDEWALK W/ 6x6-W2.9xW2.9 WWF ON COMPACETD SUBGRADE TO 98% STANDARD PROCTOR
PSI: 3000</t>
  </si>
  <si>
    <t>1/4" EXPANSION JOINT</t>
  </si>
  <si>
    <t>CONCRETE RAMP</t>
  </si>
  <si>
    <t>6: GDOT STANDARD ADA RAMP WITH DETECTABLE WARNING</t>
  </si>
  <si>
    <t>CURB &amp; GUTTER</t>
  </si>
  <si>
    <t>6"Wx12"H CONCRETE CURB W/ 18"W GUTTER ON
ON 4" THK GRADED AGGREGATE BASE</t>
  </si>
  <si>
    <t>GRADING</t>
  </si>
  <si>
    <t>C-4.0</t>
  </si>
  <si>
    <t>CUT REQUIRED FOR GRADING</t>
  </si>
  <si>
    <t>FILL REQUIRED FOR GRADING</t>
  </si>
  <si>
    <t>NET FILL</t>
  </si>
  <si>
    <t>PAVEMENT MARKING</t>
  </si>
  <si>
    <t>4"W SINGLE SOLID WHITE LINE (SSWL)</t>
  </si>
  <si>
    <t>WHITE STRIPED PEDESTRIAN CROSSING/CROSSWALK</t>
  </si>
  <si>
    <t>4" WIDE BLUE 45 DEGREE PAVEMENT MARKING
TWO COAT FOR HANDICAP SPACE DELINEATION. 4" WHITE LINES - TWO COATS FOR  NON HANDICAPPED SPACES DELINEATION OR AS REQUIRED BY LOCAL JURISDICTION</t>
  </si>
  <si>
    <t>3'x3' ADA PAINTED PARKING SIGN
BLUE FIELD BACKGROUND OR AS REQ'D BY LOCAL H.C
3" WIDE PAINT STRIPE TRAFFIC LINE WHITE</t>
  </si>
  <si>
    <t>24" WHITE STOP BAR - PAINT SHALL BE WHITE</t>
  </si>
  <si>
    <t>3'-8"x9'-4"ARROW MARKING</t>
  </si>
  <si>
    <t>SIGN</t>
  </si>
  <si>
    <t>C3.03</t>
  </si>
  <si>
    <t>1'-0"Wx1'-6"H  .080 ALUMINUM ADA PARKING SIGN
SIGN TO READ "PERMIT PARKING ONLY TOW-AWAY ZONE  MAXIMUM FINE $500.00" WITH INDENTIFICATION SYMBOL. BOLT TO STEEL TUBE WITH 3/8" CADMIUM PLATED BOLTS, NUTS &amp; WASHERS. REFLECTIVE BLUE BACKGROUND, WHITE LETTERING &amp; SYMBOL. LETTERING MINIMUM 1" HEIGHT. (STANDARD SIGN # R7-8, UNLESS STATE OR LOCAL ORDINANCE DICTATES DIFFERENTLY)
1'-0"Wx0'-6"H .080 ALUMINUM VAN ACCESSIBLE SIGN
REFLECTIVE BLUE BACKGROUND, WHITE LETTERING. LETTERING 
MINIMUM 1" HEIGHT. (STANDARD SIGN # R7-8P5)
- 2" X 2" X .188" STEEL TUBE EXTEND 2'-0" INTO CONC. FILLED PIPE. INSTALL 
WELDED WATERTIGHT CAP ON TOP. (ALTERNATE: STANDARD 3 POUND/FOOT 
U-CHANNEL SIGN POST)
- 8" DIA. STD. STEEL PIPE FILLED W/CONC.</t>
  </si>
  <si>
    <t>12: R1-1 "STOP" SIGN - 30" X 30"
SIGN PANEL AND CHANNEL HEIGHT VARY
2" GALV. STL. CHANNEL</t>
  </si>
  <si>
    <t>13: RF-1: DO NOT ENTER SIGN</t>
  </si>
  <si>
    <t>FOOTINGS</t>
  </si>
  <si>
    <t>12" DIA x3'-6"H CONCRETE FOOTING 
NO OF FOOTINGS: 1</t>
  </si>
  <si>
    <t>EXCAVATION REQUIRED</t>
  </si>
  <si>
    <t>HAULOFF</t>
  </si>
  <si>
    <t>8" DIA x3'-0"H CONCRETE FOOTING 
NO OF FOOTINGS: 5</t>
  </si>
  <si>
    <r>
      <t xml:space="preserve">10" THK CONCRETE TRANSFORMER PAD - </t>
    </r>
    <r>
      <rPr>
        <b/>
        <sz val="10"/>
        <rFont val="Calibri"/>
        <family val="2"/>
        <scheme val="minor"/>
      </rPr>
      <t>ASSUMED DETAILS</t>
    </r>
  </si>
  <si>
    <t>18"x18"x8" THK CONCRETE PAD FOR CLEANOUT
NO OF PADS: 6</t>
  </si>
  <si>
    <t>BIKE RACK</t>
  </si>
  <si>
    <t xml:space="preserve">1.25" DIA SCH 40 PIPE </t>
  </si>
  <si>
    <t>1'-0"DIAx1'-0"H  CONCRETE FOOTING
NO OF FOOTINGS: 4</t>
  </si>
  <si>
    <t>DUMPSTER ENCLOSURE</t>
  </si>
  <si>
    <t>SLAB</t>
  </si>
  <si>
    <t>A-190</t>
  </si>
  <si>
    <t>21: 6" THK HEAVY DUTY CONCRETE PAVEMENT - FOR DUMPSTER W/ #4 @ 12" O.C. 
10 MIL VAPOR BARRIER</t>
  </si>
  <si>
    <t>2'-0"W x 1'-0" THK CONCRETE FOOTING W/ 3-#5 CONT BAR</t>
  </si>
  <si>
    <t>BACKFILL REQUIRED</t>
  </si>
  <si>
    <t>CMU WALL</t>
  </si>
  <si>
    <t>8"THK. NOM.CMU WALL W/ REINFORCEMENT - #5 AT 32" O.C.</t>
  </si>
  <si>
    <t>GROUT PROVIDED FOR 8"THK. CMU WALL</t>
  </si>
  <si>
    <t>MORTAR PROVIDED FOR 8"THK. CMU WALL</t>
  </si>
  <si>
    <t>BOND BEAM</t>
  </si>
  <si>
    <t>8" W BOND BEAM W/ 1 CONT #5 BAR</t>
  </si>
  <si>
    <t>CONCRETE CAP</t>
  </si>
  <si>
    <t>4" PRECAST CONCRETE STONE CAP ON MORTOR BED</t>
  </si>
  <si>
    <t>FINISH</t>
  </si>
  <si>
    <t>5/8" CEMENTITIOUS COATING ON CMU WALL
EPT-1: BENJAMIN MOORE
COLOR: BALBOA MIST-OC27
SATIN FINISH @ WALLS</t>
  </si>
  <si>
    <t>BOLLARDS</t>
  </si>
  <si>
    <t>6" DIA x5'-0"H CONCRETE FILLED GALVANIZED STEEL BOLLARD (PAINTED YELLOW)</t>
  </si>
  <si>
    <t>16" DIA x3'-0"H CONCRETE FOOTING 
NO OF FOOTINGS: 5</t>
  </si>
  <si>
    <t>GATE</t>
  </si>
  <si>
    <t>16'-0"Wx6'-8"H STEEL DOUBLE LEAF DUMPSTER GATE
- TE2: 6" DIA STEEL GATE POST WITH SELF CLOSING HINGE(PAINTED TO MATCH PREFINISHED PANEL)
TE3: SIGNAGE NO PARKING MEET SOLID WASTE ORDINANCE
TE4: STEEL CANE BOLT ONE PER GATE (BASIS OF DESIGN: STANLEY HARDWARE #1010) WELD TO STEEL
TE5: SUPPORT WHEEL ONE PER GATE BASES OF DESIGN: GRAINER #1VJD5 WHEEL</t>
  </si>
  <si>
    <t>2 YARD DUMPSTER</t>
  </si>
  <si>
    <t>CONTINUOUS THRU WALL FLASHING W/INTEGRAL DRIP</t>
  </si>
  <si>
    <t>CONTINUOUS DRIP</t>
  </si>
  <si>
    <t>CONTINUOUS SEALANT</t>
  </si>
  <si>
    <t>STUCCO WEEP SCREEN</t>
  </si>
  <si>
    <t>EROSION CONTROL</t>
  </si>
  <si>
    <t>PHASE 1</t>
  </si>
  <si>
    <t>CONSTRUCTION EXIT</t>
  </si>
  <si>
    <t>C2.0</t>
  </si>
  <si>
    <t>CONCRETE WASHOUT</t>
  </si>
  <si>
    <t>7'-0"x7'-0" CONCRETE WASHOUT AREA W/
10 MIL PLASTIC SHEETING</t>
  </si>
  <si>
    <t>FUEL STORAGE</t>
  </si>
  <si>
    <r>
      <t xml:space="preserve">FUEL STORAGE - </t>
    </r>
    <r>
      <rPr>
        <b/>
        <sz val="10"/>
        <rFont val="Calibri"/>
        <family val="2"/>
        <scheme val="minor"/>
      </rPr>
      <t>NO DETAILS</t>
    </r>
  </si>
  <si>
    <t>SEDIMENT BARRIER</t>
  </si>
  <si>
    <r>
      <rPr>
        <b/>
        <sz val="10"/>
        <rFont val="Calibri"/>
        <family val="2"/>
        <scheme val="minor"/>
      </rPr>
      <t>SD1-NS</t>
    </r>
    <r>
      <rPr>
        <sz val="10"/>
        <rFont val="Calibri"/>
        <family val="2"/>
        <scheme val="minor"/>
      </rPr>
      <t>: SEDIMENT BARRIER - NON SENSITIVE
30" DIA COMPOST FILTER SOCK
- WOODE STAKES 2' O.C.</t>
    </r>
  </si>
  <si>
    <t>DAM RETROFIT</t>
  </si>
  <si>
    <t xml:space="preserve">RT-B: SLOTTED BOARD DAM RETROFIT </t>
  </si>
  <si>
    <t>STABILIZATION</t>
  </si>
  <si>
    <r>
      <rPr>
        <b/>
        <sz val="10"/>
        <rFont val="Calibri"/>
        <family val="2"/>
        <scheme val="minor"/>
      </rPr>
      <t>DS1</t>
    </r>
    <r>
      <rPr>
        <sz val="10"/>
        <rFont val="Calibri"/>
        <family val="2"/>
        <scheme val="minor"/>
      </rPr>
      <t>: TEMPORARY PROTECTION FOR DISTURBED AREA - DISTURBED AREA STABILIZATION WITH MULCHING ONLY</t>
    </r>
  </si>
  <si>
    <r>
      <rPr>
        <b/>
        <sz val="10"/>
        <rFont val="Calibri"/>
        <family val="2"/>
        <scheme val="minor"/>
      </rPr>
      <t>DS2</t>
    </r>
    <r>
      <rPr>
        <sz val="10"/>
        <rFont val="Calibri"/>
        <family val="2"/>
        <scheme val="minor"/>
      </rPr>
      <t>: TEMPORARY VEGETATION PRACTICES - DISTURBED AREA STABILIZATION WITH TEMPORAY SEEDING</t>
    </r>
  </si>
  <si>
    <r>
      <rPr>
        <b/>
        <sz val="10"/>
        <rFont val="Calibri"/>
        <family val="2"/>
        <scheme val="minor"/>
      </rPr>
      <t>DU</t>
    </r>
    <r>
      <rPr>
        <sz val="10"/>
        <rFont val="Calibri"/>
        <family val="2"/>
        <scheme val="minor"/>
      </rPr>
      <t>: DUST CONTROL ON DISTURBED AREAS</t>
    </r>
  </si>
  <si>
    <t>PHASE 2</t>
  </si>
  <si>
    <t>C2.1</t>
  </si>
  <si>
    <t>INLET SEDIMENT TRAP</t>
  </si>
  <si>
    <r>
      <rPr>
        <b/>
        <sz val="10"/>
        <rFont val="Calibri"/>
        <family val="2"/>
        <scheme val="minor"/>
      </rPr>
      <t>SD2-F</t>
    </r>
    <r>
      <rPr>
        <sz val="10"/>
        <rFont val="Calibri"/>
        <family val="2"/>
        <scheme val="minor"/>
      </rPr>
      <t>: TRMPORARY INLET SEDIMENT TRAP( FILTER FABRIC W/ SUPPORTED FRAME) FOR INLET PROTECTION</t>
    </r>
  </si>
  <si>
    <t>PIPE RETROFIT</t>
  </si>
  <si>
    <t>RT-P: PERFORATED HALF-ROUND PIPE RETROFIT
- FILL AROUND BARRIER WITH 3" -4" STONE</t>
  </si>
  <si>
    <r>
      <rPr>
        <b/>
        <sz val="10"/>
        <rFont val="Calibri"/>
        <family val="2"/>
        <scheme val="minor"/>
      </rPr>
      <t>DS3:</t>
    </r>
    <r>
      <rPr>
        <sz val="10"/>
        <rFont val="Calibri"/>
        <family val="2"/>
        <scheme val="minor"/>
      </rPr>
      <t>DISTURBED AREA STABILIZATION WITH PERMANENT VEGETATION</t>
    </r>
  </si>
  <si>
    <r>
      <rPr>
        <b/>
        <sz val="10"/>
        <rFont val="Calibri"/>
        <family val="2"/>
        <scheme val="minor"/>
      </rPr>
      <t>SS</t>
    </r>
    <r>
      <rPr>
        <sz val="10"/>
        <rFont val="Calibri"/>
        <family val="2"/>
        <scheme val="minor"/>
      </rPr>
      <t>: SLOPE STABILIZATION</t>
    </r>
  </si>
  <si>
    <t>PHASE 3</t>
  </si>
  <si>
    <t>C2.2</t>
  </si>
  <si>
    <r>
      <rPr>
        <b/>
        <sz val="10"/>
        <rFont val="Calibri"/>
        <family val="2"/>
        <scheme val="minor"/>
      </rPr>
      <t>SD2-F</t>
    </r>
    <r>
      <rPr>
        <sz val="10"/>
        <rFont val="Calibri"/>
        <family val="2"/>
        <scheme val="minor"/>
      </rPr>
      <t>:TRMPORARY INLET SEDIMENT TRAP( FILTER FABRIC W/ SUPPORTED FRAME) FOR INLET PROTECTION</t>
    </r>
  </si>
  <si>
    <r>
      <rPr>
        <b/>
        <sz val="10"/>
        <rFont val="Calibri"/>
        <family val="2"/>
        <scheme val="minor"/>
      </rPr>
      <t>DS4:</t>
    </r>
    <r>
      <rPr>
        <sz val="10"/>
        <rFont val="Calibri"/>
        <family val="2"/>
        <scheme val="minor"/>
      </rPr>
      <t>DISTURBED AREA STABILIZATION WITH SODDING</t>
    </r>
  </si>
  <si>
    <t>LANDSCAPE</t>
  </si>
  <si>
    <t>TREES</t>
  </si>
  <si>
    <t>L-1.0</t>
  </si>
  <si>
    <t>COMMON NAME: AMERICAN HOLY
BOTANICAL NAME: LLEX OPACA GREENLEAF
HT: 6'</t>
  </si>
  <si>
    <t>COMMON NAME: EASTERN REDCEDAR
BOTANICAL NAME: JUNIPERUS VIRGINIANA
HT: 6'</t>
  </si>
  <si>
    <t>SHRUBS/HERBACEOUS ORNAM ENTALS</t>
  </si>
  <si>
    <t>COMMON NAME: FLORIDA SUNSHINE ANISE
BOTANICAL NAME: LLICIUM PARVIFLORUM FLORIDA
GAL: 3'</t>
  </si>
  <si>
    <t>COMMON NAME: DON'S DW ARF WAX MYRTILE
BOTANICAL NAME: MYRICA CERIFERA DON'S DW ARF
GAL: 3'</t>
  </si>
  <si>
    <t>GROUNDCOVERS/VINES</t>
  </si>
  <si>
    <t>PINESTRAWV-MULCH A</t>
  </si>
  <si>
    <t>SOD</t>
  </si>
  <si>
    <t>MONUMENT SIGN</t>
  </si>
  <si>
    <t>C3.0</t>
  </si>
  <si>
    <t>POND AREA</t>
  </si>
  <si>
    <r>
      <t xml:space="preserve">23: PROPOSED STORMWATER POND AREA
</t>
    </r>
    <r>
      <rPr>
        <b/>
        <sz val="10"/>
        <rFont val="Calibri"/>
        <family val="2"/>
        <scheme val="minor"/>
      </rPr>
      <t>NOTE: POND EARTHWORK HAS BEEN ADDEDTO THE GRADING QUANTITY</t>
    </r>
  </si>
  <si>
    <t>6 OZ/SY NON-WOVEN GEOTEXTILE FABRIC</t>
  </si>
  <si>
    <t>6" PERFORATED HDPE UNDERDRAIN</t>
  </si>
  <si>
    <t>UNDERGROUND STONE STORAGE CLEAN OPEN GRADED COURSE AGGREGATE</t>
  </si>
  <si>
    <t>DRIVE THRU ISLAND</t>
  </si>
  <si>
    <t>CANOPY</t>
  </si>
  <si>
    <t>A-401</t>
  </si>
  <si>
    <t>PREFABRIFATED CANOPY COORDINATE W/ BANK EQUIPMENT VENDER OR BANK PROJECT MANAGER PRIOR TO ROUGH-IN W/ COLUMNS 2</t>
  </si>
  <si>
    <t>6" DIA STEEL BOLLARD &amp; WRAP PER FIFTH THIRD STANDARD</t>
  </si>
  <si>
    <t>16" DIA x4'-0"H CONCRETE FOOTING 
NO OF FOOTINGS: 8</t>
  </si>
  <si>
    <t>NOTE: BOLLARD COVER: INNOPLAST LIGHT GRAY #7D-42612-G2 
(PANTONE 401C).HEIGHT: 24" &amp; 48'' 
REFLECTIVE TAPE COLOR: BLUE 3M 5100R-75
CONTACT: CRAIG MCCONNELL @ 440.543.8660</t>
  </si>
  <si>
    <t>ATM</t>
  </si>
  <si>
    <t xml:space="preserve">ATM BY BANK EQUIPMENT VENDOR COORDINATE W/ VENDOR PRIOR TO INSTALLATION
ATM CONDUIT STUB-UP REQUIREMENTS : COORDINATE FINAL LOCATION WITH MANUFACTURER AND ELECTRICAL REQUIREMENTS PRIOR TO ROUGH-IN
PROVIDE ONE (1) 3/4" CONDUIT FOR POWER, ONE (1) 2" CONDUIT w/ TWO (2) PULL STRINGS FOR DATA &amp; SECURITY CABLING. STUB-UP CONDUIT AT BOTTOM OF HAND HOLE WITH 120V/30 AMP FOR ATM &amp; 120V/20 AMP FOR TOPPER. COIL FLEX CONDUITS IN HAND HOLE FOR FEED THRU HOLES IN BOTTOM OF ATM. 6" DEEP WELL OPEN TO GRAVEL FOR STUB UPS. </t>
  </si>
  <si>
    <t>1'-6" DIA x8'-6"H CONCRETE LIGHT POLE FOOTING 
NO OF FOOTINGS: 5</t>
  </si>
  <si>
    <t>DIV. 33</t>
  </si>
  <si>
    <t>UTILITIES</t>
  </si>
  <si>
    <t>UNDERGROUND PIPING</t>
  </si>
  <si>
    <t>C-4.0-C-5.0</t>
  </si>
  <si>
    <t>15" DIA STORM PIPE LINE</t>
  </si>
  <si>
    <t>18" DIA STORM PIPE LINE</t>
  </si>
  <si>
    <t>6" SANITARY SEWER PIPE LINE</t>
  </si>
  <si>
    <t>1: UNDERGROUND GAS SERVICE LINE - COORDINATE WITH UTILITY PROVIDER</t>
  </si>
  <si>
    <t>8" HDPE HEADER PIPE FOR ROOF DRAIN</t>
  </si>
  <si>
    <t>8: 1" PVC DOMESTIC WATERINE</t>
  </si>
  <si>
    <t xml:space="preserve">3: UNDERGROUND POWER SERVICE. </t>
  </si>
  <si>
    <t>4: UNDERGROUND TELEPHONE SERVICE</t>
  </si>
  <si>
    <t>CLEANOUTS</t>
  </si>
  <si>
    <t>C-5.0</t>
  </si>
  <si>
    <t>4" DIA SANITARY CLEANOUTS W/ RECESSED BRASS CLEANOUT PLUG</t>
  </si>
  <si>
    <t>INLETS</t>
  </si>
  <si>
    <r>
      <t>A2-2-STGI: HOODED GRATE INLET -</t>
    </r>
    <r>
      <rPr>
        <b/>
        <sz val="10"/>
        <rFont val="Calibri"/>
        <family val="2"/>
        <scheme val="minor"/>
      </rPr>
      <t xml:space="preserve"> NO DETAILS</t>
    </r>
  </si>
  <si>
    <r>
      <t xml:space="preserve">YARD INLET - </t>
    </r>
    <r>
      <rPr>
        <b/>
        <sz val="10"/>
        <rFont val="Calibri"/>
        <family val="2"/>
        <scheme val="minor"/>
      </rPr>
      <t>NO DETAILS</t>
    </r>
  </si>
  <si>
    <r>
      <t xml:space="preserve">4'-0" DIA PRECAST CONCRETE JUNCTION BOX - </t>
    </r>
    <r>
      <rPr>
        <b/>
        <sz val="10"/>
        <rFont val="Calibri"/>
        <family val="2"/>
        <scheme val="minor"/>
      </rPr>
      <t>NO DETAILS SO ASSUMED</t>
    </r>
  </si>
  <si>
    <t>CONTROL STRUCTURE</t>
  </si>
  <si>
    <r>
      <t xml:space="preserve">4'-0" DIA PRECAST CONCRETE OUTLET CONTROL STRUCTURE - </t>
    </r>
    <r>
      <rPr>
        <b/>
        <sz val="10"/>
        <rFont val="Calibri"/>
        <family val="2"/>
        <scheme val="minor"/>
      </rPr>
      <t>NO DETAILS SO ASSUMED</t>
    </r>
  </si>
  <si>
    <t>5: PROPOSED 8"x8"x1" TAPPING SADDLE AND CORPORATION STOP</t>
  </si>
  <si>
    <t>9: 1" DOMESTIC WATER METER</t>
  </si>
  <si>
    <t>9: 1" DOMESTICRPZ BACKFLOW PREVENTER</t>
  </si>
  <si>
    <t>2: CONNECTION AT EXISTING MANHOLE FOR SANITARY SEWER CONNECTION. CORE MANHOLE FROM INSIDE AT INVERT ELEVATION SHOWN AND GROUT WATER TIGHT</t>
  </si>
  <si>
    <t>A1-STHW: 6" CONCRETE HEADWALL</t>
  </si>
  <si>
    <t>2: IRRIGATION BACKFLOW</t>
  </si>
  <si>
    <t>PIPE TRENCHING</t>
  </si>
  <si>
    <t>EXCAVATION REQUIRED FOR PIPE TRENCHING</t>
  </si>
  <si>
    <t>FIFTH THIRD BANK WATSON BLVD</t>
  </si>
  <si>
    <t>NOTE: ABOVE ITEMS ARE TO BE FURNISHED AND INSTALLED BY G.C.</t>
  </si>
  <si>
    <t>NOTE: ABOVE ITEMS ARE TO BE FURNISHED BY OWNER AND INSTALLED BY G.C.</t>
  </si>
  <si>
    <t>NOTE: AS PER GENERAL NOTE K ON SHEET A110, ALL MILLWORK BELOW IS TO BE PROVIDED BY THE OWNER, AND INSTALLATION BY THE G.C. IS ASSUMED.</t>
  </si>
  <si>
    <r>
      <t xml:space="preserve">COFFEE MAKER - AE-07
MFR: KEURIG 
MODEL: K4500 
</t>
    </r>
    <r>
      <rPr>
        <b/>
        <sz val="10"/>
        <color rgb="FFFF0000"/>
        <rFont val="Calibri"/>
        <family val="2"/>
        <scheme val="minor"/>
      </rPr>
      <t>NOTE: FURNISHED BY VENDOR &amp; INSTALLED BY G.C</t>
    </r>
  </si>
  <si>
    <t>NOTE: AS PER GENERAL NOTE K ON SHEET A110, ALL MILLWORK IS TO BE PROVIDED BY THE OWNER, AND INSTALLATION BY THE G.C. IS ASSUMED.</t>
  </si>
  <si>
    <t>NOTE: AS PER GENERAL NOTE K ON SHEET A110, ALL BELOW FURNITURE ARE TO BE PROVIDED BY THE OWNER, AND INSTALLATION BY THE G.C. IS ASSUMED.</t>
  </si>
  <si>
    <t>NOTE: ALL BELOW FURNITURE ARE NOT FOUND ON PLANS BUT GIVEN ON FURNITURE SCHEDULE, SO WE ASSUMED 1 EA, PLEASE V.I.F</t>
  </si>
  <si>
    <t>NOTE: ALL ABOVE DIFFUSERS ARE TO BE
- 4' LONG W/ INSULATED PLENUX BOX
- TITUS MLTI-39</t>
  </si>
  <si>
    <t>NOTE: ALL ABOVE DIFFUSERS ARE TO BE
- ARCHITECTURAL SQUARE PANEL CEILING SUPPLY AIR DIFFUSER
- TITUS D-OMNI-1</t>
  </si>
  <si>
    <t>NOTE: ALL ABOVE DIFFUSERS ARE TO BE
- EGGCRATE RETURN AIR GRILLE - CORE 1/2"x1/2"x1" ALUMINUM GRID
- TITUS 50F</t>
  </si>
  <si>
    <r>
      <t>PROPOSED MONUMENT SIGN -</t>
    </r>
    <r>
      <rPr>
        <sz val="10"/>
        <color rgb="FFFF0000"/>
        <rFont val="Calibri"/>
        <family val="2"/>
        <scheme val="minor"/>
      </rPr>
      <t xml:space="preserve"> </t>
    </r>
    <r>
      <rPr>
        <b/>
        <sz val="10"/>
        <color rgb="FFFF0000"/>
        <rFont val="Calibri"/>
        <family val="2"/>
        <scheme val="minor"/>
      </rPr>
      <t>DESIGN AND PERMIT BY OTHERS</t>
    </r>
  </si>
  <si>
    <t>1 CLAB</t>
  </si>
  <si>
    <t>B-8</t>
  </si>
  <si>
    <t>C14G</t>
  </si>
  <si>
    <t>1 CARP</t>
  </si>
  <si>
    <t>C14C</t>
  </si>
  <si>
    <t>C14H</t>
  </si>
  <si>
    <t>C14D</t>
  </si>
  <si>
    <t>2 CARP</t>
  </si>
  <si>
    <t>D-9</t>
  </si>
  <si>
    <t>D-8</t>
  </si>
  <si>
    <t>2 ROFC</t>
  </si>
  <si>
    <t>E-2</t>
  </si>
  <si>
    <t>E-3</t>
  </si>
  <si>
    <t>SSWK</t>
  </si>
  <si>
    <t>E-4</t>
  </si>
  <si>
    <t>E-7</t>
  </si>
  <si>
    <t>1 BRIC</t>
  </si>
  <si>
    <t>1 ROFC</t>
  </si>
  <si>
    <t>G-5</t>
  </si>
  <si>
    <t>D-1</t>
  </si>
  <si>
    <t>J-1</t>
  </si>
  <si>
    <t>G-3</t>
  </si>
  <si>
    <t>2 GLAZ</t>
  </si>
  <si>
    <t>1 PORD</t>
  </si>
  <si>
    <t>2 SSWK</t>
  </si>
  <si>
    <t>C6</t>
  </si>
  <si>
    <t>TILF</t>
  </si>
  <si>
    <t>1 TILF</t>
  </si>
  <si>
    <t>2 CLAB</t>
  </si>
  <si>
    <t>Q-1</t>
  </si>
  <si>
    <t>L-1</t>
  </si>
  <si>
    <t>1 PLUM</t>
  </si>
  <si>
    <t>B-20A</t>
  </si>
  <si>
    <t>Q-10</t>
  </si>
  <si>
    <t>Q-14</t>
  </si>
  <si>
    <t>Q-9</t>
  </si>
  <si>
    <t>1 SHEE</t>
  </si>
  <si>
    <t>1 ELEC</t>
  </si>
  <si>
    <t>Q-5</t>
  </si>
  <si>
    <t>L-3</t>
  </si>
  <si>
    <t>R-3</t>
  </si>
  <si>
    <t>2 ELEC</t>
  </si>
  <si>
    <t xml:space="preserve">L: TETRA CONTOUR LS LED LIGHTING SYSTEM, 2W/ft, GREEN LIGHT ENGINE AND GREEN LIGHT GUIDE 180W POWER SUPPLY
MFR: CLENGTH AS SPECIFIED ON PLANS)
MOUNTING: RECESSED
LAMP: LED
VOLTS: 120 </t>
  </si>
  <si>
    <t>B-45</t>
  </si>
  <si>
    <t>B-24</t>
  </si>
  <si>
    <t>C-2A</t>
  </si>
  <si>
    <t>B-79</t>
  </si>
  <si>
    <t>B-6</t>
  </si>
  <si>
    <t>D-4</t>
  </si>
  <si>
    <t>B-80C</t>
  </si>
  <si>
    <t>CO: 6" THK (1.5"-3.5") CRUSHED STONE CONSTRUCTION EXIT
GEOTEXTILE UNDERLINER
TIRE WASHRACK AREA/TIRE WASHER
CULVERT UNDER ENTRANCE - IF REQUIRED</t>
  </si>
  <si>
    <t>B-1</t>
  </si>
  <si>
    <t>B-63</t>
  </si>
  <si>
    <t>B-17</t>
  </si>
  <si>
    <t>B-20</t>
  </si>
  <si>
    <t>K-2</t>
  </si>
  <si>
    <t>SITE LIGHTING FOOTING</t>
  </si>
  <si>
    <t>B-14</t>
  </si>
  <si>
    <t>B-13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</si>
</sst>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7" formatCode="&quot;$&quot;#,##0.00_);\(&quot;$&quot;#,##0.00\)"/>
    <numFmt numFmtId="8" formatCode="&quot;$&quot;#,##0.00_);[Red]\(&quot;$&quot;#,##0.00\)"/>
    <numFmt numFmtId="44" formatCode="_(&quot;$&quot;* #,##0.00_);_(&quot;$&quot;* \(#,##0.00\);_(&quot;$&quot;* &quot;-&quot;??_);_(@_)"/>
    <numFmt numFmtId="164" formatCode="_-* #,##0.00_-;\-* #,##0.00_-;_-* &quot;-&quot;??_-;_-@_-"/>
    <numFmt numFmtId="165" formatCode="_(&quot;$&quot;* #,##0_);_(&quot;$&quot;* \(#,##0\);_(&quot;$&quot;* &quot;-&quot;??_);_(@_)"/>
    <numFmt numFmtId="166" formatCode="0.000%"/>
    <numFmt numFmtId="167" formatCode="0.000"/>
    <numFmt numFmtId="168" formatCode="0.0"/>
    <numFmt numFmtId="169" formatCode="0_);\(0\)"/>
    <numFmt numFmtId="170" formatCode="0.0_);\(0.0\)"/>
  </numFmts>
  <fonts count="1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MS Sans Serif"/>
      <family val="2"/>
    </font>
    <font>
      <sz val="10"/>
      <name val="Calibri"/>
      <family val="2"/>
      <scheme val="minor"/>
    </font>
    <font>
      <b/>
      <sz val="10"/>
      <name val="Calibri"/>
      <family val="2"/>
      <scheme val="minor"/>
    </font>
    <font>
      <sz val="10"/>
      <name val="Arial"/>
      <family val="2"/>
    </font>
    <font>
      <b/>
      <sz val="12"/>
      <name val="Calibri"/>
      <family val="2"/>
      <scheme val="minor"/>
    </font>
    <font>
      <b/>
      <sz val="14"/>
      <name val="Calibri"/>
      <family val="2"/>
      <scheme val="minor"/>
    </font>
    <font>
      <b/>
      <sz val="10"/>
      <color theme="0"/>
      <name val="Calibri"/>
      <family val="2"/>
      <scheme val="minor"/>
    </font>
    <font>
      <sz val="14"/>
      <name val="Calibri"/>
      <family val="2"/>
      <scheme val="minor"/>
    </font>
    <font>
      <sz val="10"/>
      <color rgb="FFFF0000"/>
      <name val="Calibri"/>
      <family val="2"/>
      <scheme val="minor"/>
    </font>
    <font>
      <b/>
      <sz val="10"/>
      <color rgb="FFFF0000"/>
      <name val="Calibri"/>
      <family val="2"/>
      <scheme val="minor"/>
    </font>
    <font>
      <b/>
      <sz val="10"/>
      <color rgb="FFFF0000"/>
      <name val="Arial"/>
      <family val="2"/>
    </font>
    <font>
      <sz val="10"/>
      <name val="Calibri"/>
      <family val="2"/>
    </font>
    <font>
      <sz val="10"/>
      <color theme="1"/>
      <name val="Calibri"/>
      <family val="2"/>
    </font>
    <font>
      <b/>
      <sz val="12"/>
      <color theme="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3" tint="0.59999389629810485"/>
        <bgColor indexed="64"/>
      </patternFill>
    </fill>
    <fill>
      <patternFill patternType="solid">
        <fgColor theme="3" tint="-0.249977111117893"/>
        <bgColor indexed="64"/>
      </patternFill>
    </fill>
    <fill>
      <patternFill patternType="solid">
        <fgColor theme="4" tint="0.79998168889431442"/>
        <bgColor indexed="64"/>
      </patternFill>
    </fill>
  </fills>
  <borders count="62">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s>
  <cellStyleXfs count="10">
    <xf numFmtId="0" fontId="0" fillId="0" borderId="0"/>
    <xf numFmtId="6" fontId="5" fillId="0" borderId="0" applyFont="0" applyFill="0" applyBorder="0" applyAlignment="0" applyProtection="0"/>
    <xf numFmtId="8" fontId="5" fillId="0" borderId="0" applyFont="0" applyFill="0" applyBorder="0" applyAlignment="0" applyProtection="0"/>
    <xf numFmtId="0" fontId="5" fillId="0" borderId="0"/>
    <xf numFmtId="44" fontId="8" fillId="0" borderId="0" applyFont="0" applyFill="0" applyBorder="0" applyAlignment="0" applyProtection="0"/>
    <xf numFmtId="0" fontId="8" fillId="0" borderId="0"/>
    <xf numFmtId="0" fontId="4" fillId="0" borderId="0"/>
    <xf numFmtId="0" fontId="3" fillId="0" borderId="0"/>
    <xf numFmtId="0" fontId="2" fillId="0" borderId="0"/>
    <xf numFmtId="0" fontId="1" fillId="0" borderId="0"/>
  </cellStyleXfs>
  <cellXfs count="215">
    <xf numFmtId="0" fontId="0" fillId="0" borderId="0" xfId="0"/>
    <xf numFmtId="0" fontId="6" fillId="0" borderId="0" xfId="3" applyFont="1" applyAlignment="1">
      <alignment horizontal="left" vertical="center"/>
    </xf>
    <xf numFmtId="8" fontId="6" fillId="0" borderId="0" xfId="3" applyNumberFormat="1" applyFont="1" applyAlignment="1">
      <alignment horizontal="center" vertical="center"/>
    </xf>
    <xf numFmtId="10" fontId="6" fillId="0" borderId="3" xfId="3" applyNumberFormat="1" applyFont="1" applyBorder="1" applyAlignment="1">
      <alignment vertical="center"/>
    </xf>
    <xf numFmtId="10" fontId="6" fillId="0" borderId="0" xfId="3" applyNumberFormat="1" applyFont="1" applyAlignment="1">
      <alignment horizontal="center" vertical="center"/>
    </xf>
    <xf numFmtId="166" fontId="6" fillId="0" borderId="3" xfId="3" applyNumberFormat="1" applyFont="1" applyBorder="1" applyAlignment="1">
      <alignment vertical="center"/>
    </xf>
    <xf numFmtId="0" fontId="6" fillId="0" borderId="3" xfId="3" applyFont="1" applyBorder="1" applyAlignment="1">
      <alignment horizontal="center" vertical="center"/>
    </xf>
    <xf numFmtId="2" fontId="6" fillId="2" borderId="3" xfId="3" applyNumberFormat="1" applyFont="1" applyFill="1" applyBorder="1" applyAlignment="1">
      <alignment horizontal="center" vertical="center"/>
    </xf>
    <xf numFmtId="0" fontId="6" fillId="0" borderId="0" xfId="3" applyFont="1" applyAlignment="1">
      <alignment horizontal="center" vertical="center"/>
    </xf>
    <xf numFmtId="0" fontId="7" fillId="0" borderId="0" xfId="3" applyFont="1" applyAlignment="1">
      <alignment horizontal="center" vertical="center"/>
    </xf>
    <xf numFmtId="8" fontId="6" fillId="0" borderId="0" xfId="2" applyFont="1" applyAlignment="1" applyProtection="1">
      <alignment horizontal="center" vertical="center"/>
    </xf>
    <xf numFmtId="167" fontId="6" fillId="2" borderId="3" xfId="3" applyNumberFormat="1" applyFont="1" applyFill="1" applyBorder="1" applyAlignment="1">
      <alignment horizontal="center" vertical="center"/>
    </xf>
    <xf numFmtId="8" fontId="6" fillId="0" borderId="3" xfId="3" applyNumberFormat="1" applyFont="1" applyBorder="1" applyAlignment="1">
      <alignment horizontal="center" vertical="center"/>
    </xf>
    <xf numFmtId="0" fontId="7" fillId="0" borderId="0" xfId="3" applyFont="1" applyAlignment="1">
      <alignment vertical="center"/>
    </xf>
    <xf numFmtId="0" fontId="6" fillId="0" borderId="3" xfId="0" applyFont="1" applyBorder="1" applyAlignment="1">
      <alignment horizontal="center" vertical="center" wrapText="1"/>
    </xf>
    <xf numFmtId="0" fontId="12" fillId="0" borderId="3" xfId="3" applyFont="1" applyBorder="1" applyAlignment="1">
      <alignment horizontal="center" vertical="center"/>
    </xf>
    <xf numFmtId="0" fontId="10" fillId="0" borderId="0" xfId="3" applyFont="1" applyAlignment="1">
      <alignment horizontal="center" vertical="center"/>
    </xf>
    <xf numFmtId="0" fontId="9" fillId="0" borderId="0" xfId="3" applyFont="1" applyAlignment="1">
      <alignment vertical="center"/>
    </xf>
    <xf numFmtId="0" fontId="6" fillId="0" borderId="0" xfId="3" applyFont="1" applyAlignment="1">
      <alignment vertical="center"/>
    </xf>
    <xf numFmtId="1" fontId="6" fillId="0" borderId="3" xfId="0" applyNumberFormat="1" applyFont="1" applyBorder="1" applyAlignment="1">
      <alignment horizontal="center" vertical="center" wrapText="1"/>
    </xf>
    <xf numFmtId="8" fontId="6" fillId="0" borderId="0" xfId="2" applyFont="1" applyBorder="1" applyAlignment="1" applyProtection="1">
      <alignment horizontal="center" vertical="center"/>
    </xf>
    <xf numFmtId="165" fontId="6" fillId="0" borderId="3" xfId="4" applyNumberFormat="1" applyFont="1" applyBorder="1" applyAlignment="1" applyProtection="1">
      <alignment horizontal="center" vertical="center" wrapText="1"/>
    </xf>
    <xf numFmtId="164" fontId="6" fillId="0" borderId="0" xfId="3" applyNumberFormat="1" applyFont="1" applyAlignment="1">
      <alignment horizontal="center" vertical="center"/>
    </xf>
    <xf numFmtId="168" fontId="6" fillId="0" borderId="3" xfId="0" applyNumberFormat="1" applyFont="1" applyBorder="1" applyAlignment="1">
      <alignment horizontal="center" vertical="center" wrapText="1"/>
    </xf>
    <xf numFmtId="0" fontId="7" fillId="0" borderId="3" xfId="3" applyFont="1" applyBorder="1" applyAlignment="1">
      <alignment horizontal="left" vertical="center" wrapText="1"/>
    </xf>
    <xf numFmtId="0" fontId="6" fillId="0" borderId="3" xfId="3" applyFont="1" applyBorder="1" applyAlignment="1">
      <alignment horizontal="center" vertical="center" wrapText="1"/>
    </xf>
    <xf numFmtId="0" fontId="7" fillId="0" borderId="3" xfId="3" applyFont="1" applyBorder="1" applyAlignment="1">
      <alignment horizontal="center" vertical="center"/>
    </xf>
    <xf numFmtId="8" fontId="6" fillId="4" borderId="3" xfId="3" applyNumberFormat="1" applyFont="1" applyFill="1" applyBorder="1" applyAlignment="1">
      <alignment horizontal="center" vertical="center"/>
    </xf>
    <xf numFmtId="0" fontId="16" fillId="0" borderId="3" xfId="3" applyFont="1" applyBorder="1" applyAlignment="1">
      <alignment horizontal="center" vertical="center"/>
    </xf>
    <xf numFmtId="8" fontId="16" fillId="5" borderId="3" xfId="3" applyNumberFormat="1" applyFont="1" applyFill="1" applyBorder="1" applyAlignment="1">
      <alignment horizontal="center" vertical="center"/>
    </xf>
    <xf numFmtId="2" fontId="17" fillId="0" borderId="3" xfId="3" applyNumberFormat="1" applyFont="1" applyBorder="1" applyAlignment="1">
      <alignment horizontal="center" vertical="center"/>
    </xf>
    <xf numFmtId="8" fontId="17" fillId="0" borderId="3" xfId="3" applyNumberFormat="1" applyFont="1" applyBorder="1" applyAlignment="1">
      <alignment horizontal="center" vertical="center"/>
    </xf>
    <xf numFmtId="167" fontId="17" fillId="0" borderId="3" xfId="3" applyNumberFormat="1" applyFont="1" applyBorder="1" applyAlignment="1">
      <alignment horizontal="center" vertical="center"/>
    </xf>
    <xf numFmtId="170" fontId="6" fillId="0" borderId="3" xfId="4" applyNumberFormat="1" applyFont="1" applyBorder="1" applyAlignment="1" applyProtection="1">
      <alignment horizontal="center" vertical="center" wrapText="1"/>
    </xf>
    <xf numFmtId="44" fontId="7" fillId="0" borderId="0" xfId="3" applyNumberFormat="1" applyFont="1" applyAlignment="1">
      <alignment horizontal="center" vertical="center"/>
    </xf>
    <xf numFmtId="38" fontId="6" fillId="0" borderId="3" xfId="3" applyNumberFormat="1" applyFont="1" applyBorder="1" applyAlignment="1">
      <alignment horizontal="center" vertical="center" wrapText="1"/>
    </xf>
    <xf numFmtId="165" fontId="6" fillId="0" borderId="20" xfId="3" applyNumberFormat="1" applyFont="1" applyBorder="1" applyAlignment="1">
      <alignment horizontal="center" vertical="center"/>
    </xf>
    <xf numFmtId="0" fontId="6" fillId="0" borderId="21" xfId="3" applyFont="1" applyBorder="1" applyAlignment="1">
      <alignment horizontal="center" vertical="center"/>
    </xf>
    <xf numFmtId="0" fontId="7" fillId="0" borderId="21" xfId="3" applyFont="1" applyBorder="1" applyAlignment="1">
      <alignment vertical="center"/>
    </xf>
    <xf numFmtId="165" fontId="7" fillId="0" borderId="20" xfId="3" applyNumberFormat="1" applyFont="1" applyBorder="1" applyAlignment="1">
      <alignment horizontal="center" vertical="center"/>
    </xf>
    <xf numFmtId="0" fontId="6" fillId="0" borderId="24" xfId="3" applyFont="1" applyBorder="1" applyAlignment="1">
      <alignment horizontal="left" vertical="center" wrapText="1"/>
    </xf>
    <xf numFmtId="6" fontId="6" fillId="0" borderId="20" xfId="3" applyNumberFormat="1" applyFont="1" applyBorder="1" applyAlignment="1">
      <alignment horizontal="center" vertical="center"/>
    </xf>
    <xf numFmtId="38" fontId="6" fillId="0" borderId="26" xfId="3" applyNumberFormat="1" applyFont="1" applyBorder="1" applyAlignment="1">
      <alignment horizontal="center" vertical="center"/>
    </xf>
    <xf numFmtId="0" fontId="6" fillId="0" borderId="29" xfId="0" applyFont="1" applyBorder="1" applyAlignment="1">
      <alignment horizontal="center" vertical="center" wrapText="1"/>
    </xf>
    <xf numFmtId="1" fontId="6" fillId="0" borderId="29" xfId="0" applyNumberFormat="1" applyFont="1" applyBorder="1" applyAlignment="1">
      <alignment horizontal="center" vertical="center" wrapText="1"/>
    </xf>
    <xf numFmtId="6" fontId="6" fillId="0" borderId="30" xfId="3" applyNumberFormat="1"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wrapText="1"/>
    </xf>
    <xf numFmtId="8" fontId="6" fillId="0" borderId="12" xfId="3" applyNumberFormat="1" applyFont="1" applyBorder="1" applyAlignment="1">
      <alignment horizontal="center" vertical="center"/>
    </xf>
    <xf numFmtId="167" fontId="6" fillId="2" borderId="12" xfId="3" applyNumberFormat="1" applyFont="1" applyFill="1" applyBorder="1" applyAlignment="1">
      <alignment horizontal="center" vertical="center"/>
    </xf>
    <xf numFmtId="2" fontId="6" fillId="2" borderId="12" xfId="3" applyNumberFormat="1" applyFont="1" applyFill="1" applyBorder="1" applyAlignment="1">
      <alignment horizontal="center" vertical="center"/>
    </xf>
    <xf numFmtId="0" fontId="11" fillId="7" borderId="32" xfId="3" applyFont="1" applyFill="1" applyBorder="1" applyAlignment="1">
      <alignment vertical="center" wrapText="1"/>
    </xf>
    <xf numFmtId="0" fontId="11" fillId="7" borderId="32" xfId="3" applyFont="1" applyFill="1" applyBorder="1" applyAlignment="1">
      <alignment horizontal="center" vertical="center" wrapText="1"/>
    </xf>
    <xf numFmtId="165" fontId="11" fillId="7" borderId="32" xfId="4" applyNumberFormat="1" applyFont="1" applyFill="1" applyBorder="1" applyAlignment="1" applyProtection="1">
      <alignment horizontal="center" vertical="center"/>
    </xf>
    <xf numFmtId="8" fontId="11" fillId="7" borderId="32" xfId="2" applyFont="1" applyFill="1" applyBorder="1" applyAlignment="1" applyProtection="1">
      <alignment horizontal="center" vertical="center" wrapText="1"/>
    </xf>
    <xf numFmtId="169" fontId="11" fillId="7" borderId="32" xfId="4" applyNumberFormat="1" applyFont="1" applyFill="1" applyBorder="1" applyAlignment="1" applyProtection="1">
      <alignment horizontal="center" vertical="center"/>
    </xf>
    <xf numFmtId="0" fontId="11" fillId="7" borderId="32" xfId="3" applyFont="1" applyFill="1" applyBorder="1" applyAlignment="1">
      <alignment vertical="center"/>
    </xf>
    <xf numFmtId="165" fontId="11" fillId="7" borderId="32" xfId="3" applyNumberFormat="1" applyFont="1" applyFill="1" applyBorder="1" applyAlignment="1">
      <alignment horizontal="center" vertical="center"/>
    </xf>
    <xf numFmtId="165" fontId="11" fillId="7" borderId="33" xfId="3" applyNumberFormat="1" applyFont="1" applyFill="1" applyBorder="1" applyAlignment="1">
      <alignment horizontal="center" vertical="center"/>
    </xf>
    <xf numFmtId="38" fontId="11" fillId="7" borderId="14" xfId="3" applyNumberFormat="1" applyFont="1" applyFill="1" applyBorder="1" applyAlignment="1">
      <alignment horizontal="center" vertical="center" wrapText="1"/>
    </xf>
    <xf numFmtId="38" fontId="6" fillId="0" borderId="35" xfId="3" applyNumberFormat="1" applyFont="1" applyBorder="1" applyAlignment="1">
      <alignment horizontal="center" vertical="center"/>
    </xf>
    <xf numFmtId="38" fontId="6" fillId="0" borderId="36" xfId="3" applyNumberFormat="1" applyFont="1" applyBorder="1" applyAlignment="1">
      <alignment horizontal="center" vertical="center"/>
    </xf>
    <xf numFmtId="38" fontId="6" fillId="6" borderId="36" xfId="3" applyNumberFormat="1" applyFont="1" applyFill="1" applyBorder="1" applyAlignment="1">
      <alignment horizontal="center" vertical="center"/>
    </xf>
    <xf numFmtId="38" fontId="6" fillId="4" borderId="36" xfId="3" applyNumberFormat="1" applyFont="1" applyFill="1" applyBorder="1" applyAlignment="1">
      <alignment horizontal="center" vertical="center"/>
    </xf>
    <xf numFmtId="38" fontId="6" fillId="0" borderId="37" xfId="3" applyNumberFormat="1" applyFont="1" applyBorder="1" applyAlignment="1">
      <alignment horizontal="center" vertical="center"/>
    </xf>
    <xf numFmtId="38" fontId="11" fillId="7" borderId="38" xfId="3" applyNumberFormat="1" applyFont="1" applyFill="1" applyBorder="1" applyAlignment="1">
      <alignment horizontal="center" vertical="center" wrapText="1"/>
    </xf>
    <xf numFmtId="38" fontId="6" fillId="0" borderId="5" xfId="3" applyNumberFormat="1" applyFont="1" applyBorder="1" applyAlignment="1">
      <alignment horizontal="center" vertical="center" wrapText="1"/>
    </xf>
    <xf numFmtId="38" fontId="6" fillId="0" borderId="4" xfId="3" applyNumberFormat="1" applyFont="1" applyBorder="1" applyAlignment="1">
      <alignment horizontal="center" vertical="center" wrapText="1"/>
    </xf>
    <xf numFmtId="38" fontId="6" fillId="6" borderId="4" xfId="3" applyNumberFormat="1" applyFont="1" applyFill="1" applyBorder="1" applyAlignment="1">
      <alignment horizontal="center" vertical="center" wrapText="1"/>
    </xf>
    <xf numFmtId="38" fontId="6" fillId="4" borderId="4" xfId="3" applyNumberFormat="1" applyFont="1" applyFill="1" applyBorder="1" applyAlignment="1">
      <alignment horizontal="center" vertical="center" wrapText="1"/>
    </xf>
    <xf numFmtId="38" fontId="6" fillId="0" borderId="4" xfId="3" applyNumberFormat="1" applyFont="1" applyBorder="1" applyAlignment="1">
      <alignment vertical="center" wrapText="1"/>
    </xf>
    <xf numFmtId="38" fontId="6" fillId="0" borderId="39" xfId="3" applyNumberFormat="1" applyFont="1" applyBorder="1" applyAlignment="1">
      <alignment horizontal="center" vertical="center" wrapText="1"/>
    </xf>
    <xf numFmtId="0" fontId="11" fillId="7" borderId="31" xfId="3" applyFont="1" applyFill="1" applyBorder="1" applyAlignment="1">
      <alignment horizontal="left" vertical="center"/>
    </xf>
    <xf numFmtId="0" fontId="6" fillId="0" borderId="26" xfId="3" applyFont="1" applyBorder="1" applyAlignment="1">
      <alignment horizontal="left" vertical="center" wrapText="1"/>
    </xf>
    <xf numFmtId="0" fontId="7" fillId="6" borderId="26" xfId="3" applyFont="1" applyFill="1" applyBorder="1" applyAlignment="1">
      <alignment horizontal="left" vertical="center" wrapText="1"/>
    </xf>
    <xf numFmtId="0" fontId="7" fillId="0" borderId="26" xfId="3" applyFont="1" applyBorder="1" applyAlignment="1">
      <alignment horizontal="left" vertical="center" wrapText="1"/>
    </xf>
    <xf numFmtId="0" fontId="14" fillId="0" borderId="26" xfId="3" applyFont="1" applyBorder="1" applyAlignment="1">
      <alignment horizontal="left" vertical="center" wrapText="1"/>
    </xf>
    <xf numFmtId="0" fontId="7" fillId="4" borderId="26" xfId="3" applyFont="1" applyFill="1" applyBorder="1" applyAlignment="1">
      <alignment horizontal="left" vertical="center" wrapText="1"/>
    </xf>
    <xf numFmtId="20" fontId="6" fillId="0" borderId="26" xfId="3" applyNumberFormat="1" applyFont="1" applyBorder="1" applyAlignment="1">
      <alignment horizontal="left" vertical="center" wrapText="1"/>
    </xf>
    <xf numFmtId="0" fontId="6" fillId="0" borderId="26" xfId="3" applyFont="1" applyBorder="1" applyAlignment="1">
      <alignment horizontal="right" vertical="center" wrapText="1"/>
    </xf>
    <xf numFmtId="38" fontId="6" fillId="0" borderId="26" xfId="3" applyNumberFormat="1" applyFont="1" applyBorder="1" applyAlignment="1">
      <alignment horizontal="left" vertical="center" wrapText="1"/>
    </xf>
    <xf numFmtId="0" fontId="6" fillId="0" borderId="28" xfId="3" applyFont="1" applyBorder="1" applyAlignment="1">
      <alignment horizontal="left" vertical="center" wrapText="1"/>
    </xf>
    <xf numFmtId="38" fontId="6" fillId="0" borderId="21" xfId="3" applyNumberFormat="1" applyFont="1" applyBorder="1" applyAlignment="1">
      <alignment horizontal="center" vertical="center"/>
    </xf>
    <xf numFmtId="38" fontId="7" fillId="0" borderId="0" xfId="3" applyNumberFormat="1" applyFont="1" applyAlignment="1">
      <alignment horizontal="center" vertical="center" wrapText="1"/>
    </xf>
    <xf numFmtId="0" fontId="7" fillId="0" borderId="0" xfId="3" applyFont="1" applyAlignment="1">
      <alignment horizontal="left" vertical="center" wrapText="1"/>
    </xf>
    <xf numFmtId="0" fontId="6" fillId="0" borderId="0" xfId="0" applyFont="1" applyAlignment="1">
      <alignment horizontal="center" vertical="center"/>
    </xf>
    <xf numFmtId="8" fontId="7" fillId="0" borderId="0" xfId="3" applyNumberFormat="1" applyFont="1" applyAlignment="1">
      <alignment horizontal="center" vertical="center"/>
    </xf>
    <xf numFmtId="8" fontId="7" fillId="0" borderId="0" xfId="2" applyFont="1" applyBorder="1" applyAlignment="1" applyProtection="1">
      <alignment horizontal="center" vertical="center"/>
    </xf>
    <xf numFmtId="7" fontId="7" fillId="0" borderId="0" xfId="1" applyNumberFormat="1" applyFont="1" applyBorder="1" applyAlignment="1" applyProtection="1">
      <alignment horizontal="center" vertical="center"/>
    </xf>
    <xf numFmtId="44" fontId="7" fillId="0" borderId="40" xfId="4" applyFont="1" applyBorder="1" applyAlignment="1" applyProtection="1">
      <alignment horizontal="center" vertical="center"/>
    </xf>
    <xf numFmtId="0" fontId="7" fillId="0" borderId="42" xfId="3" applyFont="1" applyBorder="1" applyAlignment="1">
      <alignment vertical="center"/>
    </xf>
    <xf numFmtId="0" fontId="7" fillId="0" borderId="29" xfId="3" applyFont="1" applyBorder="1" applyAlignment="1">
      <alignment horizontal="center" vertical="center"/>
    </xf>
    <xf numFmtId="8" fontId="11" fillId="3" borderId="29" xfId="2" applyFont="1" applyFill="1" applyBorder="1" applyAlignment="1" applyProtection="1">
      <alignment horizontal="center" vertical="center"/>
    </xf>
    <xf numFmtId="8" fontId="7" fillId="0" borderId="29" xfId="2" applyFont="1" applyFill="1" applyBorder="1" applyAlignment="1" applyProtection="1">
      <alignment horizontal="center" vertical="center"/>
    </xf>
    <xf numFmtId="8" fontId="7" fillId="0" borderId="29" xfId="2" applyFont="1" applyFill="1" applyBorder="1" applyAlignment="1" applyProtection="1">
      <alignment horizontal="center" vertical="center" wrapText="1"/>
    </xf>
    <xf numFmtId="8" fontId="11" fillId="3" borderId="29" xfId="2" applyFont="1" applyFill="1" applyBorder="1" applyAlignment="1" applyProtection="1">
      <alignment horizontal="center" vertical="center" wrapText="1"/>
    </xf>
    <xf numFmtId="0" fontId="6" fillId="0" borderId="15" xfId="3" applyFont="1" applyBorder="1" applyAlignment="1">
      <alignment horizontal="center" vertical="center"/>
    </xf>
    <xf numFmtId="0" fontId="6" fillId="0" borderId="16" xfId="3" applyFont="1" applyBorder="1" applyAlignment="1">
      <alignment horizontal="center" vertical="center"/>
    </xf>
    <xf numFmtId="0" fontId="6" fillId="0" borderId="19" xfId="3" applyFont="1" applyBorder="1" applyAlignment="1">
      <alignment horizontal="center" vertical="center"/>
    </xf>
    <xf numFmtId="0" fontId="6" fillId="0" borderId="40" xfId="3" applyFont="1" applyBorder="1" applyAlignment="1">
      <alignment horizontal="center" vertical="center"/>
    </xf>
    <xf numFmtId="165" fontId="6" fillId="0" borderId="20" xfId="4" applyNumberFormat="1" applyFont="1" applyBorder="1" applyAlignment="1" applyProtection="1">
      <alignment horizontal="center" vertical="center" wrapText="1"/>
    </xf>
    <xf numFmtId="0" fontId="6" fillId="0" borderId="44" xfId="3" applyFont="1" applyBorder="1" applyAlignment="1">
      <alignment horizontal="left" vertical="center" wrapText="1"/>
    </xf>
    <xf numFmtId="0" fontId="6" fillId="0" borderId="45" xfId="3" applyFont="1" applyBorder="1" applyAlignment="1">
      <alignment horizontal="left" vertical="center" wrapText="1"/>
    </xf>
    <xf numFmtId="0" fontId="6" fillId="0" borderId="13" xfId="3" applyFont="1" applyBorder="1" applyAlignment="1">
      <alignment vertical="center" wrapText="1"/>
    </xf>
    <xf numFmtId="0" fontId="6" fillId="0" borderId="45" xfId="3" applyFont="1" applyBorder="1" applyAlignment="1">
      <alignment vertical="center" wrapText="1"/>
    </xf>
    <xf numFmtId="0" fontId="11" fillId="7" borderId="31" xfId="3" applyFont="1" applyFill="1" applyBorder="1" applyAlignment="1">
      <alignment horizontal="center" vertical="center" wrapText="1"/>
    </xf>
    <xf numFmtId="0" fontId="11" fillId="7" borderId="33" xfId="5" applyFont="1" applyFill="1" applyBorder="1" applyAlignment="1">
      <alignment horizontal="center" vertical="center" wrapText="1"/>
    </xf>
    <xf numFmtId="38" fontId="6" fillId="0" borderId="53" xfId="3" applyNumberFormat="1" applyFont="1" applyBorder="1" applyAlignment="1">
      <alignment horizontal="center" vertical="center"/>
    </xf>
    <xf numFmtId="38" fontId="6" fillId="0" borderId="38" xfId="3" applyNumberFormat="1" applyFont="1" applyBorder="1" applyAlignment="1">
      <alignment horizontal="center" vertical="center" wrapText="1"/>
    </xf>
    <xf numFmtId="0" fontId="6" fillId="0" borderId="38" xfId="3" applyFont="1" applyBorder="1" applyAlignment="1">
      <alignment horizontal="left" vertical="center" wrapText="1"/>
    </xf>
    <xf numFmtId="0" fontId="7" fillId="0" borderId="38" xfId="3" applyFont="1" applyBorder="1" applyAlignment="1">
      <alignment horizontal="left" vertical="center" wrapText="1"/>
    </xf>
    <xf numFmtId="165" fontId="7" fillId="0" borderId="54" xfId="4" applyNumberFormat="1" applyFont="1" applyBorder="1" applyAlignment="1" applyProtection="1">
      <alignment horizontal="center" vertical="center" wrapText="1"/>
    </xf>
    <xf numFmtId="6" fontId="6" fillId="4" borderId="20" xfId="3" applyNumberFormat="1" applyFont="1" applyFill="1" applyBorder="1" applyAlignment="1">
      <alignment horizontal="center" vertical="center"/>
    </xf>
    <xf numFmtId="0" fontId="7" fillId="0" borderId="15" xfId="3" applyFont="1" applyBorder="1" applyAlignment="1">
      <alignment vertical="center"/>
    </xf>
    <xf numFmtId="0" fontId="7" fillId="0" borderId="16" xfId="3" applyFont="1" applyBorder="1" applyAlignment="1">
      <alignment vertical="center"/>
    </xf>
    <xf numFmtId="0" fontId="6" fillId="0" borderId="55" xfId="3" applyFont="1" applyBorder="1" applyAlignment="1">
      <alignment vertical="center"/>
    </xf>
    <xf numFmtId="0" fontId="6" fillId="0" borderId="46" xfId="3" applyFont="1" applyBorder="1" applyAlignment="1">
      <alignment vertical="center"/>
    </xf>
    <xf numFmtId="0" fontId="7" fillId="0" borderId="46" xfId="3" applyFont="1" applyBorder="1" applyAlignment="1">
      <alignment vertical="center"/>
    </xf>
    <xf numFmtId="2" fontId="7" fillId="0" borderId="30" xfId="3" applyNumberFormat="1" applyFont="1" applyBorder="1" applyAlignment="1">
      <alignment horizontal="center" vertical="center"/>
    </xf>
    <xf numFmtId="38" fontId="6" fillId="0" borderId="59" xfId="3" applyNumberFormat="1" applyFont="1" applyBorder="1" applyAlignment="1">
      <alignment horizontal="center" vertical="center"/>
    </xf>
    <xf numFmtId="38" fontId="6" fillId="0" borderId="46" xfId="3" applyNumberFormat="1" applyFont="1" applyBorder="1" applyAlignment="1">
      <alignment horizontal="center" vertical="center" wrapText="1"/>
    </xf>
    <xf numFmtId="0" fontId="6" fillId="0" borderId="50" xfId="5" applyFont="1" applyBorder="1" applyAlignment="1">
      <alignment horizontal="center" vertical="center" wrapText="1"/>
    </xf>
    <xf numFmtId="38" fontId="6" fillId="0" borderId="14" xfId="3" applyNumberFormat="1" applyFont="1" applyBorder="1" applyAlignment="1">
      <alignment horizontal="center" vertical="center"/>
    </xf>
    <xf numFmtId="0" fontId="7" fillId="0" borderId="31" xfId="3" applyFont="1" applyBorder="1" applyAlignment="1">
      <alignment horizontal="right" vertical="center" wrapText="1"/>
    </xf>
    <xf numFmtId="170" fontId="7" fillId="0" borderId="32" xfId="4" applyNumberFormat="1" applyFont="1" applyBorder="1" applyAlignment="1" applyProtection="1">
      <alignment horizontal="center" vertical="center" wrapText="1"/>
    </xf>
    <xf numFmtId="0" fontId="7" fillId="0" borderId="32" xfId="3" applyFont="1" applyBorder="1" applyAlignment="1">
      <alignment horizontal="left" vertical="center" wrapText="1"/>
    </xf>
    <xf numFmtId="0" fontId="6" fillId="0" borderId="47" xfId="3" applyFont="1" applyBorder="1" applyAlignment="1">
      <alignment horizontal="left" vertical="center" wrapText="1"/>
    </xf>
    <xf numFmtId="170" fontId="6" fillId="0" borderId="48" xfId="4" applyNumberFormat="1" applyFont="1" applyBorder="1" applyAlignment="1" applyProtection="1">
      <alignment horizontal="center" vertical="center" wrapText="1"/>
    </xf>
    <xf numFmtId="165" fontId="6" fillId="0" borderId="48" xfId="4" applyNumberFormat="1" applyFont="1" applyBorder="1" applyAlignment="1" applyProtection="1">
      <alignment horizontal="center" vertical="center" wrapText="1"/>
    </xf>
    <xf numFmtId="165" fontId="6" fillId="0" borderId="49" xfId="4" applyNumberFormat="1" applyFont="1" applyBorder="1" applyAlignment="1" applyProtection="1">
      <alignment horizontal="center" vertical="center" wrapText="1"/>
    </xf>
    <xf numFmtId="0" fontId="7" fillId="0" borderId="29" xfId="3" applyFont="1" applyBorder="1" applyAlignment="1">
      <alignment horizontal="left" vertical="center" wrapText="1"/>
    </xf>
    <xf numFmtId="165" fontId="7" fillId="0" borderId="30" xfId="4" applyNumberFormat="1" applyFont="1" applyBorder="1" applyAlignment="1" applyProtection="1">
      <alignment horizontal="center" vertical="center" wrapText="1"/>
    </xf>
    <xf numFmtId="38" fontId="6" fillId="0" borderId="51" xfId="3" applyNumberFormat="1" applyFont="1" applyBorder="1" applyAlignment="1">
      <alignment horizontal="center" vertical="center" wrapText="1"/>
    </xf>
    <xf numFmtId="38" fontId="6" fillId="0" borderId="36" xfId="3" applyNumberFormat="1" applyFont="1" applyBorder="1" applyAlignment="1">
      <alignment horizontal="center" vertical="center" wrapText="1"/>
    </xf>
    <xf numFmtId="38" fontId="6" fillId="0" borderId="37" xfId="3" applyNumberFormat="1" applyFont="1" applyBorder="1" applyAlignment="1">
      <alignment horizontal="center" vertical="center" wrapText="1"/>
    </xf>
    <xf numFmtId="38" fontId="6" fillId="0" borderId="51" xfId="3" applyNumberFormat="1" applyFont="1" applyBorder="1" applyAlignment="1">
      <alignment horizontal="center" vertical="center"/>
    </xf>
    <xf numFmtId="165" fontId="18" fillId="7" borderId="33" xfId="4" applyNumberFormat="1" applyFont="1" applyFill="1" applyBorder="1" applyAlignment="1" applyProtection="1">
      <alignment horizontal="center" vertical="center" wrapText="1"/>
    </xf>
    <xf numFmtId="2" fontId="6" fillId="0" borderId="3" xfId="0" applyNumberFormat="1" applyFont="1" applyBorder="1" applyAlignment="1">
      <alignment horizontal="center" vertical="center" wrapText="1"/>
    </xf>
    <xf numFmtId="20" fontId="7" fillId="0" borderId="26" xfId="3" applyNumberFormat="1" applyFont="1" applyBorder="1" applyAlignment="1">
      <alignment horizontal="left" vertical="center" wrapText="1"/>
    </xf>
    <xf numFmtId="38" fontId="6" fillId="0" borderId="61" xfId="3" applyNumberFormat="1" applyFont="1" applyBorder="1" applyAlignment="1">
      <alignment horizontal="center" vertical="center" wrapText="1"/>
    </xf>
    <xf numFmtId="0" fontId="6" fillId="0" borderId="3" xfId="3" applyFont="1" applyBorder="1" applyAlignment="1">
      <alignment horizontal="left" vertical="center" wrapText="1"/>
    </xf>
    <xf numFmtId="0" fontId="6" fillId="0" borderId="3" xfId="3" applyFont="1" applyBorder="1" applyAlignment="1">
      <alignment horizontal="right" vertical="center" wrapText="1"/>
    </xf>
    <xf numFmtId="0" fontId="7" fillId="8" borderId="26" xfId="3" applyFont="1" applyFill="1" applyBorder="1" applyAlignment="1">
      <alignment horizontal="left" vertical="center" wrapText="1"/>
    </xf>
    <xf numFmtId="0" fontId="6" fillId="0" borderId="0" xfId="3" applyFont="1" applyAlignment="1">
      <alignment horizontal="center" vertical="center"/>
    </xf>
    <xf numFmtId="0" fontId="6" fillId="0" borderId="0" xfId="3" applyFont="1" applyAlignment="1">
      <alignment horizontal="center" vertical="center"/>
    </xf>
    <xf numFmtId="0" fontId="10" fillId="0" borderId="10" xfId="3" applyFont="1" applyBorder="1" applyAlignment="1">
      <alignment horizontal="center" vertical="center"/>
    </xf>
    <xf numFmtId="0" fontId="10" fillId="0" borderId="11" xfId="3" applyFont="1" applyBorder="1" applyAlignment="1">
      <alignment horizontal="center" vertical="center"/>
    </xf>
    <xf numFmtId="0" fontId="10" fillId="0" borderId="2" xfId="3" applyFont="1" applyBorder="1" applyAlignment="1">
      <alignment horizontal="center" vertical="center"/>
    </xf>
    <xf numFmtId="38" fontId="6" fillId="0" borderId="22" xfId="3" applyNumberFormat="1" applyFont="1" applyBorder="1" applyAlignment="1">
      <alignment horizontal="center" vertical="center"/>
    </xf>
    <xf numFmtId="38" fontId="6" fillId="0" borderId="13" xfId="3" applyNumberFormat="1" applyFont="1" applyBorder="1" applyAlignment="1">
      <alignment horizontal="center" vertical="center"/>
    </xf>
    <xf numFmtId="38" fontId="6" fillId="0" borderId="23" xfId="3" applyNumberFormat="1" applyFont="1" applyBorder="1" applyAlignment="1">
      <alignment horizontal="center" vertical="center"/>
    </xf>
    <xf numFmtId="0" fontId="7" fillId="0" borderId="41" xfId="3" applyFont="1" applyBorder="1" applyAlignment="1">
      <alignment horizontal="left" vertical="center"/>
    </xf>
    <xf numFmtId="0" fontId="7" fillId="0" borderId="42" xfId="3" applyFont="1" applyBorder="1" applyAlignment="1">
      <alignment horizontal="left" vertical="center"/>
    </xf>
    <xf numFmtId="0" fontId="7" fillId="0" borderId="42" xfId="3" applyFont="1" applyBorder="1" applyAlignment="1">
      <alignment horizontal="left" vertical="center" wrapText="1"/>
    </xf>
    <xf numFmtId="0" fontId="7" fillId="0" borderId="43" xfId="3" applyFont="1" applyBorder="1" applyAlignment="1">
      <alignment horizontal="left" vertical="center" wrapText="1"/>
    </xf>
    <xf numFmtId="14" fontId="6" fillId="0" borderId="22" xfId="3" applyNumberFormat="1" applyFont="1" applyBorder="1" applyAlignment="1">
      <alignment horizontal="left" vertical="center" wrapText="1"/>
    </xf>
    <xf numFmtId="0" fontId="6" fillId="0" borderId="13" xfId="3" applyFont="1" applyBorder="1" applyAlignment="1">
      <alignment horizontal="left" vertical="center" wrapText="1"/>
    </xf>
    <xf numFmtId="0" fontId="6" fillId="0" borderId="44" xfId="3" applyFont="1" applyBorder="1" applyAlignment="1">
      <alignment horizontal="left" vertical="center" wrapText="1"/>
    </xf>
    <xf numFmtId="0" fontId="6" fillId="0" borderId="45" xfId="3" applyFont="1" applyBorder="1" applyAlignment="1">
      <alignment horizontal="left" vertical="center" wrapText="1"/>
    </xf>
    <xf numFmtId="0" fontId="6" fillId="0" borderId="23" xfId="3" applyFont="1" applyBorder="1" applyAlignment="1">
      <alignment horizontal="left" vertical="center" wrapText="1"/>
    </xf>
    <xf numFmtId="0" fontId="6" fillId="0" borderId="50" xfId="3" applyFont="1" applyBorder="1" applyAlignment="1">
      <alignment horizontal="left" vertical="center" wrapText="1"/>
    </xf>
    <xf numFmtId="0" fontId="10" fillId="0" borderId="0" xfId="3" applyFont="1" applyAlignment="1">
      <alignment horizontal="center" vertical="center"/>
    </xf>
    <xf numFmtId="0" fontId="7" fillId="0" borderId="26" xfId="3" applyFont="1" applyBorder="1" applyAlignment="1">
      <alignment horizontal="center" vertical="center" wrapText="1"/>
    </xf>
    <xf numFmtId="0" fontId="7" fillId="0" borderId="28" xfId="3" applyFont="1" applyBorder="1" applyAlignment="1">
      <alignment horizontal="center" vertical="center"/>
    </xf>
    <xf numFmtId="0" fontId="7" fillId="0" borderId="3" xfId="3" applyFont="1" applyBorder="1" applyAlignment="1">
      <alignment horizontal="center" vertical="center" wrapText="1"/>
    </xf>
    <xf numFmtId="0" fontId="7" fillId="0" borderId="29" xfId="3" applyFont="1" applyBorder="1" applyAlignment="1">
      <alignment horizontal="center" vertical="center"/>
    </xf>
    <xf numFmtId="0" fontId="7" fillId="0" borderId="3" xfId="3" applyFont="1" applyBorder="1" applyAlignment="1">
      <alignment horizontal="center" vertical="center"/>
    </xf>
    <xf numFmtId="0" fontId="11" fillId="7" borderId="3" xfId="3" applyFont="1" applyFill="1" applyBorder="1" applyAlignment="1">
      <alignment horizontal="center" vertical="center"/>
    </xf>
    <xf numFmtId="0" fontId="11" fillId="7" borderId="3" xfId="0" applyFont="1" applyFill="1" applyBorder="1" applyAlignment="1">
      <alignment horizontal="center" vertical="center"/>
    </xf>
    <xf numFmtId="8" fontId="7" fillId="0" borderId="20" xfId="2" applyFont="1" applyFill="1" applyBorder="1" applyAlignment="1" applyProtection="1">
      <alignment horizontal="center" vertical="center" wrapText="1"/>
    </xf>
    <xf numFmtId="8" fontId="7" fillId="0" borderId="30" xfId="2" applyFont="1" applyFill="1" applyBorder="1" applyAlignment="1" applyProtection="1">
      <alignment horizontal="center" vertical="center"/>
    </xf>
    <xf numFmtId="8" fontId="11" fillId="7" borderId="3" xfId="2" applyFont="1" applyFill="1" applyBorder="1" applyAlignment="1" applyProtection="1">
      <alignment horizontal="center" vertical="center"/>
    </xf>
    <xf numFmtId="8" fontId="7" fillId="0" borderId="3" xfId="2" applyFont="1" applyFill="1" applyBorder="1" applyAlignment="1" applyProtection="1">
      <alignment horizontal="center" vertical="center" wrapText="1"/>
    </xf>
    <xf numFmtId="8" fontId="7" fillId="0" borderId="29" xfId="2" applyFont="1" applyFill="1" applyBorder="1" applyAlignment="1" applyProtection="1">
      <alignment horizontal="center" vertical="center"/>
    </xf>
    <xf numFmtId="0" fontId="7" fillId="0" borderId="29" xfId="3" applyFont="1" applyBorder="1" applyAlignment="1">
      <alignment horizontal="center" vertical="center" wrapText="1"/>
    </xf>
    <xf numFmtId="0" fontId="6" fillId="0" borderId="24" xfId="3" applyFont="1" applyBorder="1" applyAlignment="1">
      <alignment horizontal="left" vertical="center" wrapText="1"/>
    </xf>
    <xf numFmtId="0" fontId="6" fillId="0" borderId="12" xfId="3" applyFont="1" applyBorder="1" applyAlignment="1">
      <alignment horizontal="left" vertical="center" wrapText="1"/>
    </xf>
    <xf numFmtId="0" fontId="7" fillId="0" borderId="43" xfId="3" applyFont="1" applyBorder="1" applyAlignment="1">
      <alignment horizontal="left" vertical="center"/>
    </xf>
    <xf numFmtId="0" fontId="7" fillId="0" borderId="18" xfId="3" applyFont="1" applyBorder="1" applyAlignment="1">
      <alignment horizontal="left" vertical="center"/>
    </xf>
    <xf numFmtId="0" fontId="7" fillId="0" borderId="16" xfId="3" applyFont="1" applyBorder="1" applyAlignment="1">
      <alignment horizontal="left" vertical="center"/>
    </xf>
    <xf numFmtId="0" fontId="7" fillId="0" borderId="17" xfId="3" applyFont="1" applyBorder="1" applyAlignment="1">
      <alignment horizontal="left" vertical="center"/>
    </xf>
    <xf numFmtId="0" fontId="18" fillId="7" borderId="57" xfId="3" applyFont="1" applyFill="1" applyBorder="1" applyAlignment="1">
      <alignment horizontal="center" vertical="center"/>
    </xf>
    <xf numFmtId="0" fontId="18" fillId="7" borderId="52" xfId="3" applyFont="1" applyFill="1" applyBorder="1" applyAlignment="1">
      <alignment horizontal="center" vertical="center"/>
    </xf>
    <xf numFmtId="0" fontId="18" fillId="7" borderId="58" xfId="3" applyFont="1" applyFill="1" applyBorder="1" applyAlignment="1">
      <alignment horizontal="center" vertical="center"/>
    </xf>
    <xf numFmtId="0" fontId="6" fillId="0" borderId="27" xfId="3" applyFont="1" applyBorder="1" applyAlignment="1">
      <alignment horizontal="right" vertical="center"/>
    </xf>
    <xf numFmtId="0" fontId="6" fillId="0" borderId="4" xfId="3" applyFont="1" applyBorder="1" applyAlignment="1">
      <alignment horizontal="right" vertical="center"/>
    </xf>
    <xf numFmtId="0" fontId="6" fillId="0" borderId="9" xfId="3" applyFont="1" applyBorder="1" applyAlignment="1">
      <alignment horizontal="right" vertical="center"/>
    </xf>
    <xf numFmtId="0" fontId="6" fillId="0" borderId="25" xfId="3" applyFont="1" applyBorder="1" applyAlignment="1">
      <alignment horizontal="left" vertical="center" wrapText="1"/>
    </xf>
    <xf numFmtId="0" fontId="7" fillId="0" borderId="27" xfId="3" applyFont="1" applyBorder="1" applyAlignment="1">
      <alignment horizontal="right" vertical="center"/>
    </xf>
    <xf numFmtId="0" fontId="7" fillId="0" borderId="4" xfId="3" applyFont="1" applyBorder="1" applyAlignment="1">
      <alignment horizontal="right" vertical="center"/>
    </xf>
    <xf numFmtId="0" fontId="7" fillId="0" borderId="9" xfId="3" applyFont="1" applyBorder="1" applyAlignment="1">
      <alignment horizontal="right" vertical="center"/>
    </xf>
    <xf numFmtId="0" fontId="7" fillId="0" borderId="56" xfId="3" applyFont="1" applyBorder="1" applyAlignment="1">
      <alignment horizontal="right" vertical="center"/>
    </xf>
    <xf numFmtId="0" fontId="7" fillId="0" borderId="39" xfId="3" applyFont="1" applyBorder="1" applyAlignment="1">
      <alignment horizontal="right" vertical="center"/>
    </xf>
    <xf numFmtId="0" fontId="7" fillId="0" borderId="34" xfId="3" applyFont="1" applyBorder="1" applyAlignment="1">
      <alignment horizontal="right" vertical="center"/>
    </xf>
    <xf numFmtId="0" fontId="15" fillId="0" borderId="0" xfId="0" applyFont="1" applyAlignment="1">
      <alignment horizontal="center" vertical="center" wrapText="1"/>
    </xf>
    <xf numFmtId="38" fontId="6" fillId="0" borderId="4" xfId="3" applyNumberFormat="1" applyFont="1" applyBorder="1" applyAlignment="1">
      <alignment horizontal="center" vertical="center" wrapText="1"/>
    </xf>
    <xf numFmtId="38" fontId="6" fillId="0" borderId="61" xfId="3" applyNumberFormat="1" applyFont="1" applyBorder="1" applyAlignment="1">
      <alignment horizontal="center" vertical="center" wrapText="1"/>
    </xf>
    <xf numFmtId="38" fontId="6" fillId="0" borderId="35" xfId="3" applyNumberFormat="1" applyFont="1" applyBorder="1" applyAlignment="1">
      <alignment horizontal="center" vertical="center" wrapText="1"/>
    </xf>
    <xf numFmtId="38" fontId="6" fillId="0" borderId="60" xfId="3" applyNumberFormat="1" applyFont="1" applyBorder="1" applyAlignment="1">
      <alignment horizontal="center" vertical="center" wrapText="1"/>
    </xf>
    <xf numFmtId="0" fontId="6" fillId="0" borderId="8" xfId="3" applyFont="1" applyBorder="1" applyAlignment="1">
      <alignment horizontal="left" vertical="center" wrapText="1"/>
    </xf>
    <xf numFmtId="0" fontId="6" fillId="0" borderId="0" xfId="3" applyFont="1" applyAlignment="1">
      <alignment horizontal="left" vertical="center" wrapText="1"/>
    </xf>
    <xf numFmtId="0" fontId="6" fillId="0" borderId="1" xfId="3" applyFont="1" applyBorder="1" applyAlignment="1">
      <alignment horizontal="left" vertical="center" wrapText="1"/>
    </xf>
    <xf numFmtId="0" fontId="6" fillId="0" borderId="6" xfId="3" applyFont="1" applyBorder="1" applyAlignment="1">
      <alignment horizontal="left" vertical="center" wrapText="1"/>
    </xf>
    <xf numFmtId="0" fontId="6" fillId="0" borderId="5" xfId="3" applyFont="1" applyBorder="1" applyAlignment="1">
      <alignment horizontal="left" vertical="center" wrapText="1"/>
    </xf>
    <xf numFmtId="0" fontId="6" fillId="0" borderId="7" xfId="3" applyFont="1" applyBorder="1" applyAlignment="1">
      <alignment horizontal="left" vertical="center" wrapText="1"/>
    </xf>
    <xf numFmtId="8" fontId="6" fillId="4" borderId="12" xfId="3" applyNumberFormat="1" applyFont="1" applyFill="1" applyBorder="1" applyAlignment="1">
      <alignment horizontal="center" vertical="center"/>
    </xf>
    <xf numFmtId="167" fontId="6" fillId="4" borderId="12" xfId="3" applyNumberFormat="1" applyFont="1" applyFill="1" applyBorder="1" applyAlignment="1">
      <alignment horizontal="center" vertical="center"/>
    </xf>
    <xf numFmtId="2" fontId="6" fillId="4" borderId="12" xfId="3" applyNumberFormat="1" applyFont="1" applyFill="1" applyBorder="1" applyAlignment="1">
      <alignment horizontal="center" vertical="center"/>
    </xf>
    <xf numFmtId="167" fontId="6" fillId="0" borderId="3" xfId="3" applyNumberFormat="1" applyFont="1" applyBorder="1" applyAlignment="1">
      <alignment horizontal="center" vertical="center"/>
    </xf>
    <xf numFmtId="0" fontId="6" fillId="0" borderId="9" xfId="3" applyFont="1" applyBorder="1" applyAlignment="1">
      <alignment horizontal="left" vertical="center" wrapText="1"/>
    </xf>
    <xf numFmtId="0" fontId="7" fillId="0" borderId="9" xfId="3" applyFont="1" applyBorder="1" applyAlignment="1">
      <alignment horizontal="left" vertical="center" wrapText="1"/>
    </xf>
    <xf numFmtId="0" fontId="6" fillId="0" borderId="9" xfId="3" applyFont="1" applyBorder="1" applyAlignment="1">
      <alignment horizontal="right" vertical="center" wrapText="1"/>
    </xf>
    <xf numFmtId="8" fontId="6" fillId="0" borderId="45" xfId="3" applyNumberFormat="1" applyFont="1" applyBorder="1" applyAlignment="1">
      <alignment horizontal="center" vertical="center"/>
    </xf>
    <xf numFmtId="167" fontId="6" fillId="2" borderId="45" xfId="3" applyNumberFormat="1" applyFont="1" applyFill="1" applyBorder="1" applyAlignment="1">
      <alignment horizontal="center" vertical="center"/>
    </xf>
    <xf numFmtId="2" fontId="6" fillId="2" borderId="45" xfId="3" applyNumberFormat="1" applyFont="1" applyFill="1" applyBorder="1" applyAlignment="1">
      <alignment horizontal="center" vertical="center"/>
    </xf>
  </cellXfs>
  <cellStyles count="10">
    <cellStyle name="Currency" xfId="4" builtinId="4"/>
    <cellStyle name="Currency [0]_Addendum #8" xfId="1" xr:uid="{00000000-0005-0000-0000-000001000000}"/>
    <cellStyle name="Currency_Addendum #8" xfId="2" xr:uid="{00000000-0005-0000-0000-000002000000}"/>
    <cellStyle name="Normal" xfId="0" builtinId="0"/>
    <cellStyle name="Normal 2" xfId="5" xr:uid="{00000000-0005-0000-0000-000004000000}"/>
    <cellStyle name="Normal 2 2" xfId="6" xr:uid="{00000000-0005-0000-0000-000005000000}"/>
    <cellStyle name="Normal 3" xfId="7" xr:uid="{5023E261-A78F-436A-8D9C-14E116B250E9}"/>
    <cellStyle name="Normal 4" xfId="8" xr:uid="{86ED71A9-0052-4C29-8F97-6F0D186B38E1}"/>
    <cellStyle name="Normal 5" xfId="9" xr:uid="{70C4C94F-39B4-4243-A4DD-80B492A8A00B}"/>
    <cellStyle name="Normal_Addendum #8" xfId="3" xr:uid="{00000000-0005-0000-0000-000006000000}"/>
  </cellStyles>
  <dxfs count="6">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
      <font>
        <b/>
        <i val="0"/>
      </font>
      <fill>
        <patternFill>
          <bgColor theme="9" tint="0.799981688894314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612160</xdr:colOff>
      <xdr:row>2</xdr:row>
      <xdr:rowOff>0</xdr:rowOff>
    </xdr:from>
    <xdr:to>
      <xdr:col>8</xdr:col>
      <xdr:colOff>2974</xdr:colOff>
      <xdr:row>10</xdr:row>
      <xdr:rowOff>822</xdr:rowOff>
    </xdr:to>
    <xdr:pic>
      <xdr:nvPicPr>
        <xdr:cNvPr id="2" name="Picture 1">
          <a:extLst>
            <a:ext uri="{FF2B5EF4-FFF2-40B4-BE49-F238E27FC236}">
              <a16:creationId xmlns:a16="http://schemas.microsoft.com/office/drawing/2014/main" id="{BE021755-172D-4D6E-B9EF-6B7F967848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3940" y="361950"/>
          <a:ext cx="1356774" cy="1319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7189</xdr:colOff>
      <xdr:row>1</xdr:row>
      <xdr:rowOff>264308</xdr:rowOff>
    </xdr:from>
    <xdr:to>
      <xdr:col>3</xdr:col>
      <xdr:colOff>517368</xdr:colOff>
      <xdr:row>13</xdr:row>
      <xdr:rowOff>2327</xdr:rowOff>
    </xdr:to>
    <xdr:pic>
      <xdr:nvPicPr>
        <xdr:cNvPr id="2" name="Picture 1">
          <a:extLst>
            <a:ext uri="{FF2B5EF4-FFF2-40B4-BE49-F238E27FC236}">
              <a16:creationId xmlns:a16="http://schemas.microsoft.com/office/drawing/2014/main" id="{82FB5A9F-8A8A-118D-14DE-D22E21FB83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81" y="501534"/>
          <a:ext cx="1811546" cy="1749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A0CE2-170B-4073-9C9B-0F2EA8F9E34C}">
  <sheetPr>
    <tabColor rgb="FF0070C0"/>
    <pageSetUpPr fitToPage="1"/>
  </sheetPr>
  <dimension ref="B1:P39"/>
  <sheetViews>
    <sheetView showGridLines="0" showZeros="0" view="pageBreakPreview" zoomScale="115" zoomScaleNormal="100" zoomScaleSheetLayoutView="115" workbookViewId="0">
      <selection activeCell="D24" sqref="D24"/>
    </sheetView>
  </sheetViews>
  <sheetFormatPr defaultColWidth="9.140625" defaultRowHeight="12.75" x14ac:dyDescent="0.2"/>
  <cols>
    <col min="1" max="1" width="1.5703125" style="8" customWidth="1"/>
    <col min="2" max="2" width="6.7109375" style="8" customWidth="1"/>
    <col min="3" max="3" width="12.7109375" style="8" customWidth="1"/>
    <col min="4" max="4" width="48.7109375" style="1" customWidth="1"/>
    <col min="5" max="7" width="14.7109375" style="1" customWidth="1"/>
    <col min="8" max="8" width="14.7109375" style="8" customWidth="1"/>
    <col min="9" max="9" width="9.28515625" style="8" customWidth="1"/>
    <col min="10" max="11" width="13.42578125" style="8" customWidth="1"/>
    <col min="12" max="16384" width="9.140625" style="8"/>
  </cols>
  <sheetData>
    <row r="1" spans="2:16" ht="9" customHeight="1" x14ac:dyDescent="0.2">
      <c r="J1" s="16"/>
      <c r="K1" s="16"/>
    </row>
    <row r="2" spans="2:16" ht="19.5" thickBot="1" x14ac:dyDescent="0.25">
      <c r="B2" s="145" t="s">
        <v>64</v>
      </c>
      <c r="C2" s="146"/>
      <c r="D2" s="146"/>
      <c r="E2" s="146"/>
      <c r="F2" s="146"/>
      <c r="G2" s="146"/>
      <c r="H2" s="147"/>
      <c r="I2" s="144"/>
      <c r="J2" s="144"/>
      <c r="K2" s="144"/>
      <c r="L2" s="144"/>
      <c r="M2" s="144"/>
    </row>
    <row r="3" spans="2:16" x14ac:dyDescent="0.2">
      <c r="B3" s="96"/>
      <c r="C3" s="97"/>
      <c r="D3" s="97"/>
      <c r="E3" s="97"/>
      <c r="F3" s="97"/>
      <c r="G3" s="97"/>
      <c r="H3" s="98"/>
    </row>
    <row r="4" spans="2:16" x14ac:dyDescent="0.2">
      <c r="B4" s="37"/>
      <c r="D4" s="8"/>
      <c r="E4" s="8"/>
      <c r="F4" s="8"/>
      <c r="G4" s="8"/>
      <c r="H4" s="99"/>
      <c r="P4" s="2"/>
    </row>
    <row r="5" spans="2:16" x14ac:dyDescent="0.2">
      <c r="B5" s="37"/>
      <c r="D5" s="8"/>
      <c r="E5" s="8"/>
      <c r="F5" s="8"/>
      <c r="G5" s="8"/>
      <c r="H5" s="99"/>
      <c r="J5" s="144"/>
      <c r="K5" s="144"/>
      <c r="L5" s="144"/>
      <c r="M5" s="144"/>
      <c r="N5" s="144"/>
      <c r="O5" s="4"/>
      <c r="P5" s="2"/>
    </row>
    <row r="6" spans="2:16" x14ac:dyDescent="0.2">
      <c r="B6" s="37"/>
      <c r="D6" s="8"/>
      <c r="E6" s="8"/>
      <c r="F6" s="8"/>
      <c r="G6" s="8"/>
      <c r="H6" s="99"/>
      <c r="J6" s="144"/>
      <c r="K6" s="144"/>
      <c r="L6" s="144"/>
      <c r="M6" s="144"/>
      <c r="N6" s="144"/>
      <c r="O6" s="4"/>
      <c r="P6" s="2"/>
    </row>
    <row r="7" spans="2:16" x14ac:dyDescent="0.2">
      <c r="B7" s="37"/>
      <c r="D7" s="8"/>
      <c r="E7" s="8"/>
      <c r="F7" s="8"/>
      <c r="G7" s="8"/>
      <c r="H7" s="99"/>
      <c r="J7" s="144"/>
      <c r="K7" s="144"/>
      <c r="L7" s="144"/>
      <c r="M7" s="144"/>
      <c r="N7" s="144"/>
      <c r="O7" s="4"/>
      <c r="P7" s="2"/>
    </row>
    <row r="8" spans="2:16" x14ac:dyDescent="0.2">
      <c r="B8" s="37"/>
      <c r="D8" s="8"/>
      <c r="E8" s="8"/>
      <c r="F8" s="8"/>
      <c r="G8" s="8"/>
      <c r="H8" s="99"/>
      <c r="J8" s="144"/>
      <c r="K8" s="144"/>
      <c r="L8" s="144"/>
      <c r="M8" s="144"/>
      <c r="N8" s="144"/>
      <c r="O8" s="4"/>
      <c r="P8" s="2"/>
    </row>
    <row r="9" spans="2:16" x14ac:dyDescent="0.2">
      <c r="B9" s="37"/>
      <c r="D9" s="8"/>
      <c r="E9" s="8"/>
      <c r="F9" s="8"/>
      <c r="G9" s="8"/>
      <c r="H9" s="99"/>
      <c r="J9" s="144"/>
      <c r="K9" s="144"/>
      <c r="L9" s="144"/>
      <c r="M9" s="144"/>
      <c r="N9" s="144"/>
      <c r="P9" s="2"/>
    </row>
    <row r="10" spans="2:16" ht="13.5" thickBot="1" x14ac:dyDescent="0.25">
      <c r="B10" s="37"/>
      <c r="D10" s="8"/>
      <c r="E10" s="8"/>
      <c r="F10" s="8"/>
      <c r="G10" s="8"/>
      <c r="H10" s="99"/>
    </row>
    <row r="11" spans="2:16" ht="12.75" customHeight="1" x14ac:dyDescent="0.2">
      <c r="B11" s="151" t="s">
        <v>35</v>
      </c>
      <c r="C11" s="152"/>
      <c r="D11" s="90" t="s">
        <v>58</v>
      </c>
      <c r="E11" s="153" t="s">
        <v>24</v>
      </c>
      <c r="F11" s="153"/>
      <c r="G11" s="153"/>
      <c r="H11" s="154"/>
    </row>
    <row r="12" spans="2:16" x14ac:dyDescent="0.2">
      <c r="B12" s="155">
        <f>'DETAILED ESTIMATE'!B15</f>
        <v>46304</v>
      </c>
      <c r="C12" s="156"/>
      <c r="D12" s="103" t="str">
        <f>'DETAILED ESTIMATE'!E15</f>
        <v>FIFTH THIRD BANK WATSON BLVD</v>
      </c>
      <c r="E12" s="156" t="str">
        <f>'DETAILED ESTIMATE'!J15</f>
        <v>2711 WATSON BOULEVARD WARNER ROBINS, GA 31093</v>
      </c>
      <c r="F12" s="156"/>
      <c r="G12" s="156"/>
      <c r="H12" s="159"/>
    </row>
    <row r="13" spans="2:16" ht="13.5" thickBot="1" x14ac:dyDescent="0.25">
      <c r="B13" s="157"/>
      <c r="C13" s="158"/>
      <c r="D13" s="104" t="str">
        <f>'DETAILED ESTIMATE'!E16</f>
        <v>GROSS AREA: 2000 SF</v>
      </c>
      <c r="E13" s="158"/>
      <c r="F13" s="158"/>
      <c r="G13" s="158"/>
      <c r="H13" s="160"/>
    </row>
    <row r="14" spans="2:16" ht="13.5" thickBot="1" x14ac:dyDescent="0.25">
      <c r="B14" s="148"/>
      <c r="C14" s="149"/>
      <c r="D14" s="149"/>
      <c r="E14" s="149"/>
      <c r="F14" s="149"/>
      <c r="G14" s="149"/>
      <c r="H14" s="150"/>
    </row>
    <row r="15" spans="2:16" s="9" customFormat="1" ht="26.25" thickBot="1" x14ac:dyDescent="0.25">
      <c r="B15" s="59" t="s">
        <v>71</v>
      </c>
      <c r="C15" s="65" t="s">
        <v>66</v>
      </c>
      <c r="D15" s="105" t="s">
        <v>67</v>
      </c>
      <c r="E15" s="52" t="s">
        <v>156</v>
      </c>
      <c r="F15" s="52" t="s">
        <v>68</v>
      </c>
      <c r="G15" s="52" t="s">
        <v>69</v>
      </c>
      <c r="H15" s="106" t="s">
        <v>70</v>
      </c>
      <c r="I15" s="8"/>
      <c r="J15" s="8"/>
      <c r="K15" s="8"/>
      <c r="L15" s="8"/>
      <c r="M15" s="8"/>
    </row>
    <row r="16" spans="2:16" ht="13.5" thickBot="1" x14ac:dyDescent="0.25">
      <c r="B16" s="107"/>
      <c r="C16" s="108"/>
      <c r="D16" s="109"/>
      <c r="E16" s="110"/>
      <c r="F16" s="110"/>
      <c r="G16" s="110"/>
      <c r="H16" s="111"/>
    </row>
    <row r="17" spans="2:8" x14ac:dyDescent="0.2">
      <c r="B17" s="135" t="str">
        <f>IF(H17&lt;&gt;"",1+MAX($B$15:B15),"")</f>
        <v/>
      </c>
      <c r="C17" s="132">
        <f>'DETAILED ESTIMATE'!C19</f>
        <v>0</v>
      </c>
      <c r="D17" s="126"/>
      <c r="E17" s="127"/>
      <c r="F17" s="128"/>
      <c r="G17" s="128"/>
      <c r="H17" s="129"/>
    </row>
    <row r="18" spans="2:8" x14ac:dyDescent="0.2">
      <c r="B18" s="61">
        <f>IF(H18&lt;&gt;"",1+MAX($B$15:B17),"")</f>
        <v>1</v>
      </c>
      <c r="C18" s="133" t="str">
        <f>'DETAILED ESTIMATE'!C20</f>
        <v>DIV. 01</v>
      </c>
      <c r="D18" s="73" t="str">
        <f>VLOOKUP($C18,'DETAILED ESTIMATE'!$C$20:$R$1258,2,0)</f>
        <v>GENERAL REQUIREMENTS</v>
      </c>
      <c r="E18" s="33" t="str">
        <f>VLOOKUP($C18,'DETAILED ESTIMATE'!$C$20:$R$1258,9,0)</f>
        <v>0 HRS</v>
      </c>
      <c r="F18" s="21">
        <f>(VLOOKUP($C18,'DETAILED ESTIMATE'!$C$20:$R$1258,7,0))+'DETAILED ESTIMATE'!$Q$7*(VLOOKUP($C18,'DETAILED ESTIMATE'!$C$20:$R$1258,7,0))+'DETAILED ESTIMATE'!$Q$9*(VLOOKUP($C18,'DETAILED ESTIMATE'!$C$20:$R$1258,7,0))+'DETAILED ESTIMATE'!$Q$10*((VLOOKUP($C18,'DETAILED ESTIMATE'!$C$20:$R$1258,7,0))+'DETAILED ESTIMATE'!$Q$7*(VLOOKUP($C18,'DETAILED ESTIMATE'!$C$20:$R$1258,7,0))+'DETAILED ESTIMATE'!$Q$9*(VLOOKUP($C18,'DETAILED ESTIMATE'!$C$20:$R$1258,7,0)))+'DETAILED ESTIMATE'!$Q$11*(VLOOKUP($C18,'DETAILED ESTIMATE'!$C$20:$R$1258,7,0))</f>
        <v>0</v>
      </c>
      <c r="G18" s="21">
        <f>(VLOOKUP($C18,'DETAILED ESTIMATE'!$C$20:$R$1258,14,0))+'DETAILED ESTIMATE'!$Q$8*(VLOOKUP($C18,'DETAILED ESTIMATE'!$C$20:$R$1258,14,0))+'DETAILED ESTIMATE'!$Q$9*(VLOOKUP($C18,'DETAILED ESTIMATE'!$C$20:$R$1258,14,0))+'DETAILED ESTIMATE'!$Q$10*((VLOOKUP($C18,'DETAILED ESTIMATE'!$C$20:$R$1258,14,0))+'DETAILED ESTIMATE'!$Q$8*(VLOOKUP($C18,'DETAILED ESTIMATE'!$C$20:$R$1258,14,0))+'DETAILED ESTIMATE'!$Q$9*(VLOOKUP($C18,'DETAILED ESTIMATE'!$C$20:$R$1258,14,0)))+'DETAILED ESTIMATE'!$Q$11*(VLOOKUP($C18,'DETAILED ESTIMATE'!$C$20:$R$1258,14,0))</f>
        <v>164818.5</v>
      </c>
      <c r="H18" s="100">
        <f>VLOOKUP($C18,'DETAILED ESTIMATE'!$C$20:$R$1258,16,0)</f>
        <v>164818.5</v>
      </c>
    </row>
    <row r="19" spans="2:8" x14ac:dyDescent="0.2">
      <c r="B19" s="61">
        <f>IF(H19&lt;&gt;"",1+MAX($B$15:B18),"")</f>
        <v>2</v>
      </c>
      <c r="C19" s="133" t="str">
        <f>'DETAILED ESTIMATE'!C24</f>
        <v>DIV. 02</v>
      </c>
      <c r="D19" s="73" t="str">
        <f>VLOOKUP($C19,'DETAILED ESTIMATE'!$C$20:$R$1258,2,0)</f>
        <v>EXISTING CONDITIONS</v>
      </c>
      <c r="E19" s="33" t="str">
        <f>VLOOKUP($C19,'DETAILED ESTIMATE'!$C$20:$R$1258,9,0)</f>
        <v>2747 HRS</v>
      </c>
      <c r="F19" s="21">
        <f>(VLOOKUP($C19,'DETAILED ESTIMATE'!$C$20:$R$1258,7,0))+'DETAILED ESTIMATE'!$Q$7*(VLOOKUP($C19,'DETAILED ESTIMATE'!$C$20:$R$1258,7,0))+'DETAILED ESTIMATE'!$Q$9*(VLOOKUP($C19,'DETAILED ESTIMATE'!$C$20:$R$1258,7,0))+'DETAILED ESTIMATE'!$Q$10*((VLOOKUP($C19,'DETAILED ESTIMATE'!$C$20:$R$1258,7,0))+'DETAILED ESTIMATE'!$Q$7*(VLOOKUP($C19,'DETAILED ESTIMATE'!$C$20:$R$1258,7,0))+'DETAILED ESTIMATE'!$Q$9*(VLOOKUP($C19,'DETAILED ESTIMATE'!$C$20:$R$1258,7,0)))+'DETAILED ESTIMATE'!$Q$11*(VLOOKUP($C19,'DETAILED ESTIMATE'!$C$20:$R$1258,7,0))</f>
        <v>0</v>
      </c>
      <c r="G19" s="21">
        <f>(VLOOKUP($C19,'DETAILED ESTIMATE'!$C$20:$R$1258,14,0))+'DETAILED ESTIMATE'!$Q$8*(VLOOKUP($C19,'DETAILED ESTIMATE'!$C$20:$R$1258,14,0))+'DETAILED ESTIMATE'!$Q$9*(VLOOKUP($C19,'DETAILED ESTIMATE'!$C$20:$R$1258,14,0))+'DETAILED ESTIMATE'!$Q$10*((VLOOKUP($C19,'DETAILED ESTIMATE'!$C$20:$R$1258,14,0))+'DETAILED ESTIMATE'!$Q$8*(VLOOKUP($C19,'DETAILED ESTIMATE'!$C$20:$R$1258,14,0))+'DETAILED ESTIMATE'!$Q$9*(VLOOKUP($C19,'DETAILED ESTIMATE'!$C$20:$R$1258,14,0)))+'DETAILED ESTIMATE'!$Q$11*(VLOOKUP($C19,'DETAILED ESTIMATE'!$C$20:$R$1258,14,0))</f>
        <v>172757.77281517585</v>
      </c>
      <c r="H19" s="100">
        <f>VLOOKUP($C19,'DETAILED ESTIMATE'!$C$20:$R$1258,16,0)</f>
        <v>172757.77281517585</v>
      </c>
    </row>
    <row r="20" spans="2:8" x14ac:dyDescent="0.2">
      <c r="B20" s="61">
        <f>IF(H20&lt;&gt;"",1+MAX($B$15:B19),"")</f>
        <v>3</v>
      </c>
      <c r="C20" s="133" t="str">
        <f>'DETAILED ESTIMATE'!C42</f>
        <v>DIV. 03</v>
      </c>
      <c r="D20" s="73" t="str">
        <f>VLOOKUP($C20,'DETAILED ESTIMATE'!$C$20:$R$1258,2,0)</f>
        <v>CONCRETE</v>
      </c>
      <c r="E20" s="33" t="str">
        <f>VLOOKUP($C20,'DETAILED ESTIMATE'!$C$20:$R$1258,9,0)</f>
        <v>413 HRS</v>
      </c>
      <c r="F20" s="21">
        <f>(VLOOKUP($C20,'DETAILED ESTIMATE'!$C$20:$R$1258,7,0))+'DETAILED ESTIMATE'!$Q$7*(VLOOKUP($C20,'DETAILED ESTIMATE'!$C$20:$R$1258,7,0))+'DETAILED ESTIMATE'!$Q$9*(VLOOKUP($C20,'DETAILED ESTIMATE'!$C$20:$R$1258,7,0))+'DETAILED ESTIMATE'!$Q$10*((VLOOKUP($C20,'DETAILED ESTIMATE'!$C$20:$R$1258,7,0))+'DETAILED ESTIMATE'!$Q$7*(VLOOKUP($C20,'DETAILED ESTIMATE'!$C$20:$R$1258,7,0))+'DETAILED ESTIMATE'!$Q$9*(VLOOKUP($C20,'DETAILED ESTIMATE'!$C$20:$R$1258,7,0)))+'DETAILED ESTIMATE'!$Q$11*(VLOOKUP($C20,'DETAILED ESTIMATE'!$C$20:$R$1258,7,0))</f>
        <v>26726.059385627654</v>
      </c>
      <c r="G20" s="21">
        <f>(VLOOKUP($C20,'DETAILED ESTIMATE'!$C$20:$R$1258,14,0))+'DETAILED ESTIMATE'!$Q$8*(VLOOKUP($C20,'DETAILED ESTIMATE'!$C$20:$R$1258,14,0))+'DETAILED ESTIMATE'!$Q$9*(VLOOKUP($C20,'DETAILED ESTIMATE'!$C$20:$R$1258,14,0))+'DETAILED ESTIMATE'!$Q$10*((VLOOKUP($C20,'DETAILED ESTIMATE'!$C$20:$R$1258,14,0))+'DETAILED ESTIMATE'!$Q$8*(VLOOKUP($C20,'DETAILED ESTIMATE'!$C$20:$R$1258,14,0))+'DETAILED ESTIMATE'!$Q$9*(VLOOKUP($C20,'DETAILED ESTIMATE'!$C$20:$R$1258,14,0)))+'DETAILED ESTIMATE'!$Q$11*(VLOOKUP($C20,'DETAILED ESTIMATE'!$C$20:$R$1258,14,0))</f>
        <v>21916.873668698263</v>
      </c>
      <c r="H20" s="100">
        <f>VLOOKUP($C20,'DETAILED ESTIMATE'!$C$20:$R$1258,16,0)</f>
        <v>48642.933054325913</v>
      </c>
    </row>
    <row r="21" spans="2:8" x14ac:dyDescent="0.2">
      <c r="B21" s="61">
        <f>IF(H21&lt;&gt;"",1+MAX($B$15:B20),"")</f>
        <v>4</v>
      </c>
      <c r="C21" s="133" t="str">
        <f>'DETAILED ESTIMATE'!C75</f>
        <v>DIV. 04</v>
      </c>
      <c r="D21" s="73" t="str">
        <f>VLOOKUP($C21,'DETAILED ESTIMATE'!$C$20:$R$1258,2,0)</f>
        <v>MASONRY</v>
      </c>
      <c r="E21" s="33" t="str">
        <f>VLOOKUP($C21,'DETAILED ESTIMATE'!$C$20:$R$1258,9,0)</f>
        <v>224 HRS</v>
      </c>
      <c r="F21" s="21">
        <f>(VLOOKUP($C21,'DETAILED ESTIMATE'!$C$20:$R$1258,7,0))+'DETAILED ESTIMATE'!$Q$7*(VLOOKUP($C21,'DETAILED ESTIMATE'!$C$20:$R$1258,7,0))+'DETAILED ESTIMATE'!$Q$9*(VLOOKUP($C21,'DETAILED ESTIMATE'!$C$20:$R$1258,7,0))+'DETAILED ESTIMATE'!$Q$10*((VLOOKUP($C21,'DETAILED ESTIMATE'!$C$20:$R$1258,7,0))+'DETAILED ESTIMATE'!$Q$7*(VLOOKUP($C21,'DETAILED ESTIMATE'!$C$20:$R$1258,7,0))+'DETAILED ESTIMATE'!$Q$9*(VLOOKUP($C21,'DETAILED ESTIMATE'!$C$20:$R$1258,7,0)))+'DETAILED ESTIMATE'!$Q$11*(VLOOKUP($C21,'DETAILED ESTIMATE'!$C$20:$R$1258,7,0))</f>
        <v>6160.863716133279</v>
      </c>
      <c r="G21" s="21">
        <f>(VLOOKUP($C21,'DETAILED ESTIMATE'!$C$20:$R$1258,14,0))+'DETAILED ESTIMATE'!$Q$8*(VLOOKUP($C21,'DETAILED ESTIMATE'!$C$20:$R$1258,14,0))+'DETAILED ESTIMATE'!$Q$9*(VLOOKUP($C21,'DETAILED ESTIMATE'!$C$20:$R$1258,14,0))+'DETAILED ESTIMATE'!$Q$10*((VLOOKUP($C21,'DETAILED ESTIMATE'!$C$20:$R$1258,14,0))+'DETAILED ESTIMATE'!$Q$8*(VLOOKUP($C21,'DETAILED ESTIMATE'!$C$20:$R$1258,14,0))+'DETAILED ESTIMATE'!$Q$9*(VLOOKUP($C21,'DETAILED ESTIMATE'!$C$20:$R$1258,14,0)))+'DETAILED ESTIMATE'!$Q$11*(VLOOKUP($C21,'DETAILED ESTIMATE'!$C$20:$R$1258,14,0))</f>
        <v>11128.622301245423</v>
      </c>
      <c r="H21" s="100">
        <f>VLOOKUP($C21,'DETAILED ESTIMATE'!$C$20:$R$1258,16,0)</f>
        <v>17289.486017378706</v>
      </c>
    </row>
    <row r="22" spans="2:8" x14ac:dyDescent="0.2">
      <c r="B22" s="61">
        <f>IF(H22&lt;&gt;"",1+MAX($B$15:B21),"")</f>
        <v>5</v>
      </c>
      <c r="C22" s="133" t="str">
        <f>'DETAILED ESTIMATE'!C90</f>
        <v>DIV. 05</v>
      </c>
      <c r="D22" s="73" t="str">
        <f>VLOOKUP($C22,'DETAILED ESTIMATE'!$C$20:$R$1258,2,0)</f>
        <v>METALS</v>
      </c>
      <c r="E22" s="33" t="str">
        <f>VLOOKUP($C22,'DETAILED ESTIMATE'!$C$20:$R$1258,9,0)</f>
        <v>777 HRS</v>
      </c>
      <c r="F22" s="21">
        <f>(VLOOKUP($C22,'DETAILED ESTIMATE'!$C$20:$R$1258,7,0))+'DETAILED ESTIMATE'!$Q$7*(VLOOKUP($C22,'DETAILED ESTIMATE'!$C$20:$R$1258,7,0))+'DETAILED ESTIMATE'!$Q$9*(VLOOKUP($C22,'DETAILED ESTIMATE'!$C$20:$R$1258,7,0))+'DETAILED ESTIMATE'!$Q$10*((VLOOKUP($C22,'DETAILED ESTIMATE'!$C$20:$R$1258,7,0))+'DETAILED ESTIMATE'!$Q$7*(VLOOKUP($C22,'DETAILED ESTIMATE'!$C$20:$R$1258,7,0))+'DETAILED ESTIMATE'!$Q$9*(VLOOKUP($C22,'DETAILED ESTIMATE'!$C$20:$R$1258,7,0)))+'DETAILED ESTIMATE'!$Q$11*(VLOOKUP($C22,'DETAILED ESTIMATE'!$C$20:$R$1258,7,0))</f>
        <v>90177.103104990689</v>
      </c>
      <c r="G22" s="21">
        <f>(VLOOKUP($C22,'DETAILED ESTIMATE'!$C$20:$R$1258,14,0))+'DETAILED ESTIMATE'!$Q$8*(VLOOKUP($C22,'DETAILED ESTIMATE'!$C$20:$R$1258,14,0))+'DETAILED ESTIMATE'!$Q$9*(VLOOKUP($C22,'DETAILED ESTIMATE'!$C$20:$R$1258,14,0))+'DETAILED ESTIMATE'!$Q$10*((VLOOKUP($C22,'DETAILED ESTIMATE'!$C$20:$R$1258,14,0))+'DETAILED ESTIMATE'!$Q$8*(VLOOKUP($C22,'DETAILED ESTIMATE'!$C$20:$R$1258,14,0))+'DETAILED ESTIMATE'!$Q$9*(VLOOKUP($C22,'DETAILED ESTIMATE'!$C$20:$R$1258,14,0)))+'DETAILED ESTIMATE'!$Q$11*(VLOOKUP($C22,'DETAILED ESTIMATE'!$C$20:$R$1258,14,0))</f>
        <v>58048.815938033549</v>
      </c>
      <c r="H22" s="100">
        <f>VLOOKUP($C22,'DETAILED ESTIMATE'!$C$20:$R$1258,16,0)</f>
        <v>148225.91904302422</v>
      </c>
    </row>
    <row r="23" spans="2:8" x14ac:dyDescent="0.2">
      <c r="B23" s="61">
        <f>IF(H23&lt;&gt;"",1+MAX($B$15:B22),"")</f>
        <v>6</v>
      </c>
      <c r="C23" s="133" t="str">
        <f>'DETAILED ESTIMATE'!C155</f>
        <v>DIV. 06</v>
      </c>
      <c r="D23" s="73" t="str">
        <f>VLOOKUP($C23,'DETAILED ESTIMATE'!$C$20:$R$1258,2,0)</f>
        <v>WOOD, PLASTICS AND COMPOSITES</v>
      </c>
      <c r="E23" s="33" t="str">
        <f>VLOOKUP($C23,'DETAILED ESTIMATE'!$C$20:$R$1258,9,0)</f>
        <v>284 HRS</v>
      </c>
      <c r="F23" s="21">
        <f>(VLOOKUP($C23,'DETAILED ESTIMATE'!$C$20:$R$1258,7,0))+'DETAILED ESTIMATE'!$Q$7*(VLOOKUP($C23,'DETAILED ESTIMATE'!$C$20:$R$1258,7,0))+'DETAILED ESTIMATE'!$Q$9*(VLOOKUP($C23,'DETAILED ESTIMATE'!$C$20:$R$1258,7,0))+'DETAILED ESTIMATE'!$Q$10*((VLOOKUP($C23,'DETAILED ESTIMATE'!$C$20:$R$1258,7,0))+'DETAILED ESTIMATE'!$Q$7*(VLOOKUP($C23,'DETAILED ESTIMATE'!$C$20:$R$1258,7,0))+'DETAILED ESTIMATE'!$Q$9*(VLOOKUP($C23,'DETAILED ESTIMATE'!$C$20:$R$1258,7,0)))+'DETAILED ESTIMATE'!$Q$11*(VLOOKUP($C23,'DETAILED ESTIMATE'!$C$20:$R$1258,7,0))</f>
        <v>66000.407634403833</v>
      </c>
      <c r="G23" s="21">
        <f>(VLOOKUP($C23,'DETAILED ESTIMATE'!$C$20:$R$1258,14,0))+'DETAILED ESTIMATE'!$Q$8*(VLOOKUP($C23,'DETAILED ESTIMATE'!$C$20:$R$1258,14,0))+'DETAILED ESTIMATE'!$Q$9*(VLOOKUP($C23,'DETAILED ESTIMATE'!$C$20:$R$1258,14,0))+'DETAILED ESTIMATE'!$Q$10*((VLOOKUP($C23,'DETAILED ESTIMATE'!$C$20:$R$1258,14,0))+'DETAILED ESTIMATE'!$Q$8*(VLOOKUP($C23,'DETAILED ESTIMATE'!$C$20:$R$1258,14,0))+'DETAILED ESTIMATE'!$Q$9*(VLOOKUP($C23,'DETAILED ESTIMATE'!$C$20:$R$1258,14,0)))+'DETAILED ESTIMATE'!$Q$11*(VLOOKUP($C23,'DETAILED ESTIMATE'!$C$20:$R$1258,14,0))</f>
        <v>15734.351837193395</v>
      </c>
      <c r="H23" s="100">
        <f>VLOOKUP($C23,'DETAILED ESTIMATE'!$C$20:$R$1258,16,0)</f>
        <v>81734.759471597252</v>
      </c>
    </row>
    <row r="24" spans="2:8" x14ac:dyDescent="0.2">
      <c r="B24" s="61">
        <f>IF(H24&lt;&gt;"",1+MAX($B$15:B23),"")</f>
        <v>7</v>
      </c>
      <c r="C24" s="133" t="str">
        <f>'DETAILED ESTIMATE'!C266</f>
        <v>DIV. 07</v>
      </c>
      <c r="D24" s="73" t="str">
        <f>VLOOKUP($C24,'DETAILED ESTIMATE'!$C$20:$R$1258,2,0)</f>
        <v>THERMAL AND MOISTURE PROTECTION</v>
      </c>
      <c r="E24" s="33" t="str">
        <f>VLOOKUP($C24,'DETAILED ESTIMATE'!$C$20:$R$1258,9,0)</f>
        <v>855 HRS</v>
      </c>
      <c r="F24" s="21">
        <f>(VLOOKUP($C24,'DETAILED ESTIMATE'!$C$20:$R$1258,7,0))+'DETAILED ESTIMATE'!$Q$7*(VLOOKUP($C24,'DETAILED ESTIMATE'!$C$20:$R$1258,7,0))+'DETAILED ESTIMATE'!$Q$9*(VLOOKUP($C24,'DETAILED ESTIMATE'!$C$20:$R$1258,7,0))+'DETAILED ESTIMATE'!$Q$10*((VLOOKUP($C24,'DETAILED ESTIMATE'!$C$20:$R$1258,7,0))+'DETAILED ESTIMATE'!$Q$7*(VLOOKUP($C24,'DETAILED ESTIMATE'!$C$20:$R$1258,7,0))+'DETAILED ESTIMATE'!$Q$9*(VLOOKUP($C24,'DETAILED ESTIMATE'!$C$20:$R$1258,7,0)))+'DETAILED ESTIMATE'!$Q$11*(VLOOKUP($C24,'DETAILED ESTIMATE'!$C$20:$R$1258,7,0))</f>
        <v>72497.177010413463</v>
      </c>
      <c r="G24" s="21">
        <f>(VLOOKUP($C24,'DETAILED ESTIMATE'!$C$20:$R$1258,14,0))+'DETAILED ESTIMATE'!$Q$8*(VLOOKUP($C24,'DETAILED ESTIMATE'!$C$20:$R$1258,14,0))+'DETAILED ESTIMATE'!$Q$9*(VLOOKUP($C24,'DETAILED ESTIMATE'!$C$20:$R$1258,14,0))+'DETAILED ESTIMATE'!$Q$10*((VLOOKUP($C24,'DETAILED ESTIMATE'!$C$20:$R$1258,14,0))+'DETAILED ESTIMATE'!$Q$8*(VLOOKUP($C24,'DETAILED ESTIMATE'!$C$20:$R$1258,14,0))+'DETAILED ESTIMATE'!$Q$9*(VLOOKUP($C24,'DETAILED ESTIMATE'!$C$20:$R$1258,14,0)))+'DETAILED ESTIMATE'!$Q$11*(VLOOKUP($C24,'DETAILED ESTIMATE'!$C$20:$R$1258,14,0))</f>
        <v>44027.774554078707</v>
      </c>
      <c r="H24" s="100">
        <f>VLOOKUP($C24,'DETAILED ESTIMATE'!$C$20:$R$1258,16,0)</f>
        <v>116524.95156449212</v>
      </c>
    </row>
    <row r="25" spans="2:8" x14ac:dyDescent="0.2">
      <c r="B25" s="61">
        <f>IF(H25&lt;&gt;"",1+MAX($B$15:B24),"")</f>
        <v>8</v>
      </c>
      <c r="C25" s="133" t="str">
        <f>'DETAILED ESTIMATE'!C344</f>
        <v>DIV. 08</v>
      </c>
      <c r="D25" s="73" t="str">
        <f>VLOOKUP($C25,'DETAILED ESTIMATE'!$C$20:$R$1258,2,0)</f>
        <v>OPENINGS</v>
      </c>
      <c r="E25" s="33" t="str">
        <f>VLOOKUP($C25,'DETAILED ESTIMATE'!$C$20:$R$1258,9,0)</f>
        <v>213 HRS</v>
      </c>
      <c r="F25" s="21">
        <f>(VLOOKUP($C25,'DETAILED ESTIMATE'!$C$20:$R$1258,7,0))+'DETAILED ESTIMATE'!$Q$7*(VLOOKUP($C25,'DETAILED ESTIMATE'!$C$20:$R$1258,7,0))+'DETAILED ESTIMATE'!$Q$9*(VLOOKUP($C25,'DETAILED ESTIMATE'!$C$20:$R$1258,7,0))+'DETAILED ESTIMATE'!$Q$10*((VLOOKUP($C25,'DETAILED ESTIMATE'!$C$20:$R$1258,7,0))+'DETAILED ESTIMATE'!$Q$7*(VLOOKUP($C25,'DETAILED ESTIMATE'!$C$20:$R$1258,7,0))+'DETAILED ESTIMATE'!$Q$9*(VLOOKUP($C25,'DETAILED ESTIMATE'!$C$20:$R$1258,7,0)))+'DETAILED ESTIMATE'!$Q$11*(VLOOKUP($C25,'DETAILED ESTIMATE'!$C$20:$R$1258,7,0))</f>
        <v>100158.24359654399</v>
      </c>
      <c r="G25" s="21">
        <f>(VLOOKUP($C25,'DETAILED ESTIMATE'!$C$20:$R$1258,14,0))+'DETAILED ESTIMATE'!$Q$8*(VLOOKUP($C25,'DETAILED ESTIMATE'!$C$20:$R$1258,14,0))+'DETAILED ESTIMATE'!$Q$9*(VLOOKUP($C25,'DETAILED ESTIMATE'!$C$20:$R$1258,14,0))+'DETAILED ESTIMATE'!$Q$10*((VLOOKUP($C25,'DETAILED ESTIMATE'!$C$20:$R$1258,14,0))+'DETAILED ESTIMATE'!$Q$8*(VLOOKUP($C25,'DETAILED ESTIMATE'!$C$20:$R$1258,14,0))+'DETAILED ESTIMATE'!$Q$9*(VLOOKUP($C25,'DETAILED ESTIMATE'!$C$20:$R$1258,14,0)))+'DETAILED ESTIMATE'!$Q$11*(VLOOKUP($C25,'DETAILED ESTIMATE'!$C$20:$R$1258,14,0))</f>
        <v>11901.291806792806</v>
      </c>
      <c r="H25" s="100">
        <f>VLOOKUP($C25,'DETAILED ESTIMATE'!$C$20:$R$1258,16,0)</f>
        <v>112059.53540333683</v>
      </c>
    </row>
    <row r="26" spans="2:8" x14ac:dyDescent="0.2">
      <c r="B26" s="61">
        <f>IF(H26&lt;&gt;"",1+MAX($B$15:B25),"")</f>
        <v>9</v>
      </c>
      <c r="C26" s="133" t="str">
        <f>'DETAILED ESTIMATE'!C392</f>
        <v>DIV. 09</v>
      </c>
      <c r="D26" s="73" t="str">
        <f>VLOOKUP($C26,'DETAILED ESTIMATE'!$C$20:$R$1258,2,0)</f>
        <v>FINISHES</v>
      </c>
      <c r="E26" s="33" t="str">
        <f>VLOOKUP($C26,'DETAILED ESTIMATE'!$C$20:$R$1258,9,0)</f>
        <v>1025 HRS</v>
      </c>
      <c r="F26" s="21">
        <f>(VLOOKUP($C26,'DETAILED ESTIMATE'!$C$20:$R$1258,7,0))+'DETAILED ESTIMATE'!$Q$7*(VLOOKUP($C26,'DETAILED ESTIMATE'!$C$20:$R$1258,7,0))+'DETAILED ESTIMATE'!$Q$9*(VLOOKUP($C26,'DETAILED ESTIMATE'!$C$20:$R$1258,7,0))+'DETAILED ESTIMATE'!$Q$10*((VLOOKUP($C26,'DETAILED ESTIMATE'!$C$20:$R$1258,7,0))+'DETAILED ESTIMATE'!$Q$7*(VLOOKUP($C26,'DETAILED ESTIMATE'!$C$20:$R$1258,7,0))+'DETAILED ESTIMATE'!$Q$9*(VLOOKUP($C26,'DETAILED ESTIMATE'!$C$20:$R$1258,7,0)))+'DETAILED ESTIMATE'!$Q$11*(VLOOKUP($C26,'DETAILED ESTIMATE'!$C$20:$R$1258,7,0))</f>
        <v>85410.621597181205</v>
      </c>
      <c r="G26" s="21">
        <f>(VLOOKUP($C26,'DETAILED ESTIMATE'!$C$20:$R$1258,14,0))+'DETAILED ESTIMATE'!$Q$8*(VLOOKUP($C26,'DETAILED ESTIMATE'!$C$20:$R$1258,14,0))+'DETAILED ESTIMATE'!$Q$9*(VLOOKUP($C26,'DETAILED ESTIMATE'!$C$20:$R$1258,14,0))+'DETAILED ESTIMATE'!$Q$10*((VLOOKUP($C26,'DETAILED ESTIMATE'!$C$20:$R$1258,14,0))+'DETAILED ESTIMATE'!$Q$8*(VLOOKUP($C26,'DETAILED ESTIMATE'!$C$20:$R$1258,14,0))+'DETAILED ESTIMATE'!$Q$9*(VLOOKUP($C26,'DETAILED ESTIMATE'!$C$20:$R$1258,14,0)))+'DETAILED ESTIMATE'!$Q$11*(VLOOKUP($C26,'DETAILED ESTIMATE'!$C$20:$R$1258,14,0))</f>
        <v>54520.862410978843</v>
      </c>
      <c r="H26" s="100">
        <f>VLOOKUP($C26,'DETAILED ESTIMATE'!$C$20:$R$1258,16,0)</f>
        <v>139931.48400816007</v>
      </c>
    </row>
    <row r="27" spans="2:8" x14ac:dyDescent="0.2">
      <c r="B27" s="61">
        <f>IF(H27&lt;&gt;"",1+MAX($B$15:B26),"")</f>
        <v>10</v>
      </c>
      <c r="C27" s="133" t="str">
        <f>'DETAILED ESTIMATE'!C547</f>
        <v>DIV. 10</v>
      </c>
      <c r="D27" s="73" t="str">
        <f>VLOOKUP($C27,'DETAILED ESTIMATE'!$C$20:$R$1258,2,0)</f>
        <v>SPECIALTIES</v>
      </c>
      <c r="E27" s="33" t="str">
        <f>VLOOKUP($C27,'DETAILED ESTIMATE'!$C$20:$R$1258,9,0)</f>
        <v>15 HRS</v>
      </c>
      <c r="F27" s="21">
        <f>(VLOOKUP($C27,'DETAILED ESTIMATE'!$C$20:$R$1258,7,0))+'DETAILED ESTIMATE'!$Q$7*(VLOOKUP($C27,'DETAILED ESTIMATE'!$C$20:$R$1258,7,0))+'DETAILED ESTIMATE'!$Q$9*(VLOOKUP($C27,'DETAILED ESTIMATE'!$C$20:$R$1258,7,0))+'DETAILED ESTIMATE'!$Q$10*((VLOOKUP($C27,'DETAILED ESTIMATE'!$C$20:$R$1258,7,0))+'DETAILED ESTIMATE'!$Q$7*(VLOOKUP($C27,'DETAILED ESTIMATE'!$C$20:$R$1258,7,0))+'DETAILED ESTIMATE'!$Q$9*(VLOOKUP($C27,'DETAILED ESTIMATE'!$C$20:$R$1258,7,0)))+'DETAILED ESTIMATE'!$Q$11*(VLOOKUP($C27,'DETAILED ESTIMATE'!$C$20:$R$1258,7,0))</f>
        <v>3690.2857178879999</v>
      </c>
      <c r="G27" s="21">
        <f>(VLOOKUP($C27,'DETAILED ESTIMATE'!$C$20:$R$1258,14,0))+'DETAILED ESTIMATE'!$Q$8*(VLOOKUP($C27,'DETAILED ESTIMATE'!$C$20:$R$1258,14,0))+'DETAILED ESTIMATE'!$Q$9*(VLOOKUP($C27,'DETAILED ESTIMATE'!$C$20:$R$1258,14,0))+'DETAILED ESTIMATE'!$Q$10*((VLOOKUP($C27,'DETAILED ESTIMATE'!$C$20:$R$1258,14,0))+'DETAILED ESTIMATE'!$Q$8*(VLOOKUP($C27,'DETAILED ESTIMATE'!$C$20:$R$1258,14,0))+'DETAILED ESTIMATE'!$Q$9*(VLOOKUP($C27,'DETAILED ESTIMATE'!$C$20:$R$1258,14,0)))+'DETAILED ESTIMATE'!$Q$11*(VLOOKUP($C27,'DETAILED ESTIMATE'!$C$20:$R$1258,14,0))</f>
        <v>833.69235431735001</v>
      </c>
      <c r="H27" s="100">
        <f>VLOOKUP($C27,'DETAILED ESTIMATE'!$C$20:$R$1258,16,0)</f>
        <v>4523.9780722053501</v>
      </c>
    </row>
    <row r="28" spans="2:8" x14ac:dyDescent="0.2">
      <c r="B28" s="61">
        <f>IF(H28&lt;&gt;"",1+MAX($B$15:B27),"")</f>
        <v>11</v>
      </c>
      <c r="C28" s="133" t="str">
        <f>'DETAILED ESTIMATE'!C575</f>
        <v>DIV. 11</v>
      </c>
      <c r="D28" s="73" t="str">
        <f>VLOOKUP($C28,'DETAILED ESTIMATE'!$C$20:$R$1258,2,0)</f>
        <v>EQUIPMENT</v>
      </c>
      <c r="E28" s="33" t="str">
        <f>VLOOKUP($C28,'DETAILED ESTIMATE'!$C$20:$R$1258,9,0)</f>
        <v>27 HRS</v>
      </c>
      <c r="F28" s="21">
        <f>(VLOOKUP($C28,'DETAILED ESTIMATE'!$C$20:$R$1258,7,0))+'DETAILED ESTIMATE'!$Q$7*(VLOOKUP($C28,'DETAILED ESTIMATE'!$C$20:$R$1258,7,0))+'DETAILED ESTIMATE'!$Q$9*(VLOOKUP($C28,'DETAILED ESTIMATE'!$C$20:$R$1258,7,0))+'DETAILED ESTIMATE'!$Q$10*((VLOOKUP($C28,'DETAILED ESTIMATE'!$C$20:$R$1258,7,0))+'DETAILED ESTIMATE'!$Q$7*(VLOOKUP($C28,'DETAILED ESTIMATE'!$C$20:$R$1258,7,0))+'DETAILED ESTIMATE'!$Q$9*(VLOOKUP($C28,'DETAILED ESTIMATE'!$C$20:$R$1258,7,0)))+'DETAILED ESTIMATE'!$Q$11*(VLOOKUP($C28,'DETAILED ESTIMATE'!$C$20:$R$1258,7,0))</f>
        <v>28358.180569600001</v>
      </c>
      <c r="G28" s="21">
        <f>(VLOOKUP($C28,'DETAILED ESTIMATE'!$C$20:$R$1258,14,0))+'DETAILED ESTIMATE'!$Q$8*(VLOOKUP($C28,'DETAILED ESTIMATE'!$C$20:$R$1258,14,0))+'DETAILED ESTIMATE'!$Q$9*(VLOOKUP($C28,'DETAILED ESTIMATE'!$C$20:$R$1258,14,0))+'DETAILED ESTIMATE'!$Q$10*((VLOOKUP($C28,'DETAILED ESTIMATE'!$C$20:$R$1258,14,0))+'DETAILED ESTIMATE'!$Q$8*(VLOOKUP($C28,'DETAILED ESTIMATE'!$C$20:$R$1258,14,0))+'DETAILED ESTIMATE'!$Q$9*(VLOOKUP($C28,'DETAILED ESTIMATE'!$C$20:$R$1258,14,0)))+'DETAILED ESTIMATE'!$Q$11*(VLOOKUP($C28,'DETAILED ESTIMATE'!$C$20:$R$1258,14,0))</f>
        <v>1625.9460391528501</v>
      </c>
      <c r="H28" s="100">
        <f>VLOOKUP($C28,'DETAILED ESTIMATE'!$C$20:$R$1258,16,0)</f>
        <v>29984.126608752857</v>
      </c>
    </row>
    <row r="29" spans="2:8" x14ac:dyDescent="0.2">
      <c r="B29" s="61">
        <f>IF(H29&lt;&gt;"",1+MAX($B$15:B28),"")</f>
        <v>12</v>
      </c>
      <c r="C29" s="133" t="str">
        <f>'DETAILED ESTIMATE'!C589</f>
        <v>DIV. 12</v>
      </c>
      <c r="D29" s="73" t="str">
        <f>VLOOKUP($C29,'DETAILED ESTIMATE'!$C$20:$R$1258,2,0)</f>
        <v>FURNISHINGS</v>
      </c>
      <c r="E29" s="33" t="str">
        <f>VLOOKUP($C29,'DETAILED ESTIMATE'!$C$20:$R$1258,9,0)</f>
        <v>205 HRS</v>
      </c>
      <c r="F29" s="21">
        <f>(VLOOKUP($C29,'DETAILED ESTIMATE'!$C$20:$R$1258,7,0))+'DETAILED ESTIMATE'!$Q$7*(VLOOKUP($C29,'DETAILED ESTIMATE'!$C$20:$R$1258,7,0))+'DETAILED ESTIMATE'!$Q$9*(VLOOKUP($C29,'DETAILED ESTIMATE'!$C$20:$R$1258,7,0))+'DETAILED ESTIMATE'!$Q$10*((VLOOKUP($C29,'DETAILED ESTIMATE'!$C$20:$R$1258,7,0))+'DETAILED ESTIMATE'!$Q$7*(VLOOKUP($C29,'DETAILED ESTIMATE'!$C$20:$R$1258,7,0))+'DETAILED ESTIMATE'!$Q$9*(VLOOKUP($C29,'DETAILED ESTIMATE'!$C$20:$R$1258,7,0)))+'DETAILED ESTIMATE'!$Q$11*(VLOOKUP($C29,'DETAILED ESTIMATE'!$C$20:$R$1258,7,0))</f>
        <v>39362.728607999998</v>
      </c>
      <c r="G29" s="21">
        <f>(VLOOKUP($C29,'DETAILED ESTIMATE'!$C$20:$R$1258,14,0))+'DETAILED ESTIMATE'!$Q$8*(VLOOKUP($C29,'DETAILED ESTIMATE'!$C$20:$R$1258,14,0))+'DETAILED ESTIMATE'!$Q$9*(VLOOKUP($C29,'DETAILED ESTIMATE'!$C$20:$R$1258,14,0))+'DETAILED ESTIMATE'!$Q$10*((VLOOKUP($C29,'DETAILED ESTIMATE'!$C$20:$R$1258,14,0))+'DETAILED ESTIMATE'!$Q$8*(VLOOKUP($C29,'DETAILED ESTIMATE'!$C$20:$R$1258,14,0))+'DETAILED ESTIMATE'!$Q$9*(VLOOKUP($C29,'DETAILED ESTIMATE'!$C$20:$R$1258,14,0)))+'DETAILED ESTIMATE'!$Q$11*(VLOOKUP($C29,'DETAILED ESTIMATE'!$C$20:$R$1258,14,0))</f>
        <v>10903.676226869149</v>
      </c>
      <c r="H29" s="100">
        <f>VLOOKUP($C29,'DETAILED ESTIMATE'!$C$20:$R$1258,16,0)</f>
        <v>50266.404834869136</v>
      </c>
    </row>
    <row r="30" spans="2:8" x14ac:dyDescent="0.2">
      <c r="B30" s="61">
        <f>IF(H30&lt;&gt;"",1+MAX($B$15:B29),"")</f>
        <v>13</v>
      </c>
      <c r="C30" s="133" t="str">
        <f>'DETAILED ESTIMATE'!C660</f>
        <v>DIV. 22</v>
      </c>
      <c r="D30" s="73" t="str">
        <f>VLOOKUP($C30,'DETAILED ESTIMATE'!$C$20:$R$1258,2,0)</f>
        <v>PLUMBING</v>
      </c>
      <c r="E30" s="33" t="str">
        <f>VLOOKUP($C30,'DETAILED ESTIMATE'!$C$20:$R$1258,9,0)</f>
        <v>381 HRS</v>
      </c>
      <c r="F30" s="21">
        <f>(VLOOKUP($C30,'DETAILED ESTIMATE'!$C$20:$R$1258,7,0))+'DETAILED ESTIMATE'!$Q$7*(VLOOKUP($C30,'DETAILED ESTIMATE'!$C$20:$R$1258,7,0))+'DETAILED ESTIMATE'!$Q$9*(VLOOKUP($C30,'DETAILED ESTIMATE'!$C$20:$R$1258,7,0))+'DETAILED ESTIMATE'!$Q$10*((VLOOKUP($C30,'DETAILED ESTIMATE'!$C$20:$R$1258,7,0))+'DETAILED ESTIMATE'!$Q$7*(VLOOKUP($C30,'DETAILED ESTIMATE'!$C$20:$R$1258,7,0))+'DETAILED ESTIMATE'!$Q$9*(VLOOKUP($C30,'DETAILED ESTIMATE'!$C$20:$R$1258,7,0)))+'DETAILED ESTIMATE'!$Q$11*(VLOOKUP($C30,'DETAILED ESTIMATE'!$C$20:$R$1258,7,0))</f>
        <v>49734.17853699901</v>
      </c>
      <c r="G30" s="21">
        <f>(VLOOKUP($C30,'DETAILED ESTIMATE'!$C$20:$R$1258,14,0))+'DETAILED ESTIMATE'!$Q$8*(VLOOKUP($C30,'DETAILED ESTIMATE'!$C$20:$R$1258,14,0))+'DETAILED ESTIMATE'!$Q$9*(VLOOKUP($C30,'DETAILED ESTIMATE'!$C$20:$R$1258,14,0))+'DETAILED ESTIMATE'!$Q$10*((VLOOKUP($C30,'DETAILED ESTIMATE'!$C$20:$R$1258,14,0))+'DETAILED ESTIMATE'!$Q$8*(VLOOKUP($C30,'DETAILED ESTIMATE'!$C$20:$R$1258,14,0))+'DETAILED ESTIMATE'!$Q$9*(VLOOKUP($C30,'DETAILED ESTIMATE'!$C$20:$R$1258,14,0)))+'DETAILED ESTIMATE'!$Q$11*(VLOOKUP($C30,'DETAILED ESTIMATE'!$C$20:$R$1258,14,0))</f>
        <v>23664.705030987552</v>
      </c>
      <c r="H30" s="100">
        <f>VLOOKUP($C30,'DETAILED ESTIMATE'!$C$20:$R$1258,16,0)</f>
        <v>73398.883567986602</v>
      </c>
    </row>
    <row r="31" spans="2:8" x14ac:dyDescent="0.2">
      <c r="B31" s="61">
        <f>IF(H31&lt;&gt;"",1+MAX($B$15:B30),"")</f>
        <v>14</v>
      </c>
      <c r="C31" s="133" t="str">
        <f>'DETAILED ESTIMATE'!C739</f>
        <v>DIV. 23</v>
      </c>
      <c r="D31" s="73" t="str">
        <f>VLOOKUP($C31,'DETAILED ESTIMATE'!$C$20:$R$1258,2,0)</f>
        <v>HEATING, VENTILATION AND AIR CONDITIONING (HVAC)</v>
      </c>
      <c r="E31" s="33" t="str">
        <f>VLOOKUP($C31,'DETAILED ESTIMATE'!$C$20:$R$1258,9,0)</f>
        <v>320 HRS</v>
      </c>
      <c r="F31" s="21">
        <f>(VLOOKUP($C31,'DETAILED ESTIMATE'!$C$20:$R$1258,7,0))+'DETAILED ESTIMATE'!$Q$7*(VLOOKUP($C31,'DETAILED ESTIMATE'!$C$20:$R$1258,7,0))+'DETAILED ESTIMATE'!$Q$9*(VLOOKUP($C31,'DETAILED ESTIMATE'!$C$20:$R$1258,7,0))+'DETAILED ESTIMATE'!$Q$10*((VLOOKUP($C31,'DETAILED ESTIMATE'!$C$20:$R$1258,7,0))+'DETAILED ESTIMATE'!$Q$7*(VLOOKUP($C31,'DETAILED ESTIMATE'!$C$20:$R$1258,7,0))+'DETAILED ESTIMATE'!$Q$9*(VLOOKUP($C31,'DETAILED ESTIMATE'!$C$20:$R$1258,7,0)))+'DETAILED ESTIMATE'!$Q$11*(VLOOKUP($C31,'DETAILED ESTIMATE'!$C$20:$R$1258,7,0))</f>
        <v>58771.328877464017</v>
      </c>
      <c r="G31" s="21">
        <f>(VLOOKUP($C31,'DETAILED ESTIMATE'!$C$20:$R$1258,14,0))+'DETAILED ESTIMATE'!$Q$8*(VLOOKUP($C31,'DETAILED ESTIMATE'!$C$20:$R$1258,14,0))+'DETAILED ESTIMATE'!$Q$9*(VLOOKUP($C31,'DETAILED ESTIMATE'!$C$20:$R$1258,14,0))+'DETAILED ESTIMATE'!$Q$10*((VLOOKUP($C31,'DETAILED ESTIMATE'!$C$20:$R$1258,14,0))+'DETAILED ESTIMATE'!$Q$8*(VLOOKUP($C31,'DETAILED ESTIMATE'!$C$20:$R$1258,14,0))+'DETAILED ESTIMATE'!$Q$9*(VLOOKUP($C31,'DETAILED ESTIMATE'!$C$20:$R$1258,14,0)))+'DETAILED ESTIMATE'!$Q$11*(VLOOKUP($C31,'DETAILED ESTIMATE'!$C$20:$R$1258,14,0))</f>
        <v>19414.526570992715</v>
      </c>
      <c r="H31" s="100">
        <f>VLOOKUP($C31,'DETAILED ESTIMATE'!$C$20:$R$1258,16,0)</f>
        <v>78185.855448456728</v>
      </c>
    </row>
    <row r="32" spans="2:8" x14ac:dyDescent="0.2">
      <c r="B32" s="61">
        <f>IF(H32&lt;&gt;"",1+MAX($B$15:B31),"")</f>
        <v>15</v>
      </c>
      <c r="C32" s="133" t="str">
        <f>'DETAILED ESTIMATE'!C822</f>
        <v>DIV. 26</v>
      </c>
      <c r="D32" s="73" t="str">
        <f>VLOOKUP($C32,'DETAILED ESTIMATE'!$C$20:$R$1258,2,0)</f>
        <v>ELECTRICAL</v>
      </c>
      <c r="E32" s="33" t="str">
        <f>VLOOKUP($C32,'DETAILED ESTIMATE'!$C$20:$R$1258,9,0)</f>
        <v>759 HRS</v>
      </c>
      <c r="F32" s="21">
        <f>(VLOOKUP($C32,'DETAILED ESTIMATE'!$C$20:$R$1258,7,0))+'DETAILED ESTIMATE'!$Q$7*(VLOOKUP($C32,'DETAILED ESTIMATE'!$C$20:$R$1258,7,0))+'DETAILED ESTIMATE'!$Q$9*(VLOOKUP($C32,'DETAILED ESTIMATE'!$C$20:$R$1258,7,0))+'DETAILED ESTIMATE'!$Q$10*((VLOOKUP($C32,'DETAILED ESTIMATE'!$C$20:$R$1258,7,0))+'DETAILED ESTIMATE'!$Q$7*(VLOOKUP($C32,'DETAILED ESTIMATE'!$C$20:$R$1258,7,0))+'DETAILED ESTIMATE'!$Q$9*(VLOOKUP($C32,'DETAILED ESTIMATE'!$C$20:$R$1258,7,0)))+'DETAILED ESTIMATE'!$Q$11*(VLOOKUP($C32,'DETAILED ESTIMATE'!$C$20:$R$1258,7,0))</f>
        <v>236144.18806426116</v>
      </c>
      <c r="G32" s="21">
        <f>(VLOOKUP($C32,'DETAILED ESTIMATE'!$C$20:$R$1258,14,0))+'DETAILED ESTIMATE'!$Q$8*(VLOOKUP($C32,'DETAILED ESTIMATE'!$C$20:$R$1258,14,0))+'DETAILED ESTIMATE'!$Q$9*(VLOOKUP($C32,'DETAILED ESTIMATE'!$C$20:$R$1258,14,0))+'DETAILED ESTIMATE'!$Q$10*((VLOOKUP($C32,'DETAILED ESTIMATE'!$C$20:$R$1258,14,0))+'DETAILED ESTIMATE'!$Q$8*(VLOOKUP($C32,'DETAILED ESTIMATE'!$C$20:$R$1258,14,0))+'DETAILED ESTIMATE'!$Q$9*(VLOOKUP($C32,'DETAILED ESTIMATE'!$C$20:$R$1258,14,0)))+'DETAILED ESTIMATE'!$Q$11*(VLOOKUP($C32,'DETAILED ESTIMATE'!$C$20:$R$1258,14,0))</f>
        <v>49138.346781016095</v>
      </c>
      <c r="H32" s="100">
        <f>VLOOKUP($C32,'DETAILED ESTIMATE'!$C$20:$R$1258,16,0)</f>
        <v>285282.5348452772</v>
      </c>
    </row>
    <row r="33" spans="2:8" x14ac:dyDescent="0.2">
      <c r="B33" s="61">
        <f>IF(H33&lt;&gt;"",1+MAX($B$15:B32),"")</f>
        <v>16</v>
      </c>
      <c r="C33" s="133" t="str">
        <f>'DETAILED ESTIMATE'!C970</f>
        <v>DIV. 28</v>
      </c>
      <c r="D33" s="73" t="str">
        <f>VLOOKUP($C33,'DETAILED ESTIMATE'!$C$20:$R$1258,2,0)</f>
        <v>ELECTRONIC SAFETY AND SECURITY</v>
      </c>
      <c r="E33" s="33" t="str">
        <f>VLOOKUP($C33,'DETAILED ESTIMATE'!$C$20:$R$1258,9,0)</f>
        <v>140 HRS</v>
      </c>
      <c r="F33" s="21">
        <f>(VLOOKUP($C33,'DETAILED ESTIMATE'!$C$20:$R$1258,7,0))+'DETAILED ESTIMATE'!$Q$7*(VLOOKUP($C33,'DETAILED ESTIMATE'!$C$20:$R$1258,7,0))+'DETAILED ESTIMATE'!$Q$9*(VLOOKUP($C33,'DETAILED ESTIMATE'!$C$20:$R$1258,7,0))+'DETAILED ESTIMATE'!$Q$10*((VLOOKUP($C33,'DETAILED ESTIMATE'!$C$20:$R$1258,7,0))+'DETAILED ESTIMATE'!$Q$7*(VLOOKUP($C33,'DETAILED ESTIMATE'!$C$20:$R$1258,7,0))+'DETAILED ESTIMATE'!$Q$9*(VLOOKUP($C33,'DETAILED ESTIMATE'!$C$20:$R$1258,7,0)))+'DETAILED ESTIMATE'!$Q$11*(VLOOKUP($C33,'DETAILED ESTIMATE'!$C$20:$R$1258,7,0))</f>
        <v>30241.835358560005</v>
      </c>
      <c r="G33" s="21">
        <f>(VLOOKUP($C33,'DETAILED ESTIMATE'!$C$20:$R$1258,14,0))+'DETAILED ESTIMATE'!$Q$8*(VLOOKUP($C33,'DETAILED ESTIMATE'!$C$20:$R$1258,14,0))+'DETAILED ESTIMATE'!$Q$9*(VLOOKUP($C33,'DETAILED ESTIMATE'!$C$20:$R$1258,14,0))+'DETAILED ESTIMATE'!$Q$10*((VLOOKUP($C33,'DETAILED ESTIMATE'!$C$20:$R$1258,14,0))+'DETAILED ESTIMATE'!$Q$8*(VLOOKUP($C33,'DETAILED ESTIMATE'!$C$20:$R$1258,14,0))+'DETAILED ESTIMATE'!$Q$9*(VLOOKUP($C33,'DETAILED ESTIMATE'!$C$20:$R$1258,14,0)))+'DETAILED ESTIMATE'!$Q$11*(VLOOKUP($C33,'DETAILED ESTIMATE'!$C$20:$R$1258,14,0))</f>
        <v>8932.1232243966024</v>
      </c>
      <c r="H33" s="100">
        <f>VLOOKUP($C33,'DETAILED ESTIMATE'!$C$20:$R$1258,16,0)</f>
        <v>39173.958582956599</v>
      </c>
    </row>
    <row r="34" spans="2:8" x14ac:dyDescent="0.2">
      <c r="B34" s="61">
        <f>IF(H34&lt;&gt;"",1+MAX($B$15:B33),"")</f>
        <v>17</v>
      </c>
      <c r="C34" s="133" t="str">
        <f>'DETAILED ESTIMATE'!C1022</f>
        <v>DIV. 31</v>
      </c>
      <c r="D34" s="73" t="str">
        <f>VLOOKUP($C34,'DETAILED ESTIMATE'!$C$20:$R$1258,2,0)</f>
        <v>EARTHWORK</v>
      </c>
      <c r="E34" s="33" t="str">
        <f>VLOOKUP($C34,'DETAILED ESTIMATE'!$C$20:$R$1258,9,0)</f>
        <v>294 HRS</v>
      </c>
      <c r="F34" s="21">
        <f>(VLOOKUP($C34,'DETAILED ESTIMATE'!$C$20:$R$1258,7,0))+'DETAILED ESTIMATE'!$Q$7*(VLOOKUP($C34,'DETAILED ESTIMATE'!$C$20:$R$1258,7,0))+'DETAILED ESTIMATE'!$Q$9*(VLOOKUP($C34,'DETAILED ESTIMATE'!$C$20:$R$1258,7,0))+'DETAILED ESTIMATE'!$Q$10*((VLOOKUP($C34,'DETAILED ESTIMATE'!$C$20:$R$1258,7,0))+'DETAILED ESTIMATE'!$Q$7*(VLOOKUP($C34,'DETAILED ESTIMATE'!$C$20:$R$1258,7,0))+'DETAILED ESTIMATE'!$Q$9*(VLOOKUP($C34,'DETAILED ESTIMATE'!$C$20:$R$1258,7,0)))+'DETAILED ESTIMATE'!$Q$11*(VLOOKUP($C34,'DETAILED ESTIMATE'!$C$20:$R$1258,7,0))</f>
        <v>0</v>
      </c>
      <c r="G34" s="21">
        <f>(VLOOKUP($C34,'DETAILED ESTIMATE'!$C$20:$R$1258,14,0))+'DETAILED ESTIMATE'!$Q$8*(VLOOKUP($C34,'DETAILED ESTIMATE'!$C$20:$R$1258,14,0))+'DETAILED ESTIMATE'!$Q$9*(VLOOKUP($C34,'DETAILED ESTIMATE'!$C$20:$R$1258,14,0))+'DETAILED ESTIMATE'!$Q$10*((VLOOKUP($C34,'DETAILED ESTIMATE'!$C$20:$R$1258,14,0))+'DETAILED ESTIMATE'!$Q$8*(VLOOKUP($C34,'DETAILED ESTIMATE'!$C$20:$R$1258,14,0))+'DETAILED ESTIMATE'!$Q$9*(VLOOKUP($C34,'DETAILED ESTIMATE'!$C$20:$R$1258,14,0)))+'DETAILED ESTIMATE'!$Q$11*(VLOOKUP($C34,'DETAILED ESTIMATE'!$C$20:$R$1258,14,0))</f>
        <v>12926.431031088801</v>
      </c>
      <c r="H34" s="100">
        <f>VLOOKUP($C34,'DETAILED ESTIMATE'!$C$20:$R$1258,16,0)</f>
        <v>12926.431031088801</v>
      </c>
    </row>
    <row r="35" spans="2:8" x14ac:dyDescent="0.2">
      <c r="B35" s="61">
        <f>IF(H35&lt;&gt;"",1+MAX($B$15:B34),"")</f>
        <v>18</v>
      </c>
      <c r="C35" s="133" t="str">
        <f>'DETAILED ESTIMATE'!C1033</f>
        <v>DIV. 32</v>
      </c>
      <c r="D35" s="73" t="str">
        <f>VLOOKUP($C35,'DETAILED ESTIMATE'!$C$20:$R$1258,2,0)</f>
        <v>EXTERIOR IMPROVEMENT</v>
      </c>
      <c r="E35" s="33" t="str">
        <f>VLOOKUP($C35,'DETAILED ESTIMATE'!$C$20:$R$1258,9,0)</f>
        <v>3077 HRS</v>
      </c>
      <c r="F35" s="21">
        <f>(VLOOKUP($C35,'DETAILED ESTIMATE'!$C$20:$R$1258,7,0))+'DETAILED ESTIMATE'!$Q$7*(VLOOKUP($C35,'DETAILED ESTIMATE'!$C$20:$R$1258,7,0))+'DETAILED ESTIMATE'!$Q$9*(VLOOKUP($C35,'DETAILED ESTIMATE'!$C$20:$R$1258,7,0))+'DETAILED ESTIMATE'!$Q$10*((VLOOKUP($C35,'DETAILED ESTIMATE'!$C$20:$R$1258,7,0))+'DETAILED ESTIMATE'!$Q$7*(VLOOKUP($C35,'DETAILED ESTIMATE'!$C$20:$R$1258,7,0))+'DETAILED ESTIMATE'!$Q$9*(VLOOKUP($C35,'DETAILED ESTIMATE'!$C$20:$R$1258,7,0)))+'DETAILED ESTIMATE'!$Q$11*(VLOOKUP($C35,'DETAILED ESTIMATE'!$C$20:$R$1258,7,0))</f>
        <v>302445.07072185766</v>
      </c>
      <c r="G35" s="21">
        <f>(VLOOKUP($C35,'DETAILED ESTIMATE'!$C$20:$R$1258,14,0))+'DETAILED ESTIMATE'!$Q$8*(VLOOKUP($C35,'DETAILED ESTIMATE'!$C$20:$R$1258,14,0))+'DETAILED ESTIMATE'!$Q$9*(VLOOKUP($C35,'DETAILED ESTIMATE'!$C$20:$R$1258,14,0))+'DETAILED ESTIMATE'!$Q$10*((VLOOKUP($C35,'DETAILED ESTIMATE'!$C$20:$R$1258,14,0))+'DETAILED ESTIMATE'!$Q$8*(VLOOKUP($C35,'DETAILED ESTIMATE'!$C$20:$R$1258,14,0))+'DETAILED ESTIMATE'!$Q$9*(VLOOKUP($C35,'DETAILED ESTIMATE'!$C$20:$R$1258,14,0)))+'DETAILED ESTIMATE'!$Q$11*(VLOOKUP($C35,'DETAILED ESTIMATE'!$C$20:$R$1258,14,0))</f>
        <v>168459.86313878314</v>
      </c>
      <c r="H35" s="100">
        <f>VLOOKUP($C35,'DETAILED ESTIMATE'!$C$20:$R$1258,16,0)</f>
        <v>470904.93386064091</v>
      </c>
    </row>
    <row r="36" spans="2:8" x14ac:dyDescent="0.2">
      <c r="B36" s="61">
        <f>IF(H36&lt;&gt;"",1+MAX($B$15:B35),"")</f>
        <v>19</v>
      </c>
      <c r="C36" s="133" t="str">
        <f>'DETAILED ESTIMATE'!C1221</f>
        <v>DIV. 33</v>
      </c>
      <c r="D36" s="73" t="str">
        <f>VLOOKUP($C36,'DETAILED ESTIMATE'!$C$20:$R$1258,2,0)</f>
        <v>UTILITIES</v>
      </c>
      <c r="E36" s="33" t="str">
        <f>VLOOKUP($C36,'DETAILED ESTIMATE'!$C$20:$R$1258,9,0)</f>
        <v>1612 HRS</v>
      </c>
      <c r="F36" s="21">
        <f>(VLOOKUP($C36,'DETAILED ESTIMATE'!$C$20:$R$1258,7,0))+'DETAILED ESTIMATE'!$Q$7*(VLOOKUP($C36,'DETAILED ESTIMATE'!$C$20:$R$1258,7,0))+'DETAILED ESTIMATE'!$Q$9*(VLOOKUP($C36,'DETAILED ESTIMATE'!$C$20:$R$1258,7,0))+'DETAILED ESTIMATE'!$Q$10*((VLOOKUP($C36,'DETAILED ESTIMATE'!$C$20:$R$1258,7,0))+'DETAILED ESTIMATE'!$Q$7*(VLOOKUP($C36,'DETAILED ESTIMATE'!$C$20:$R$1258,7,0))+'DETAILED ESTIMATE'!$Q$9*(VLOOKUP($C36,'DETAILED ESTIMATE'!$C$20:$R$1258,7,0)))+'DETAILED ESTIMATE'!$Q$11*(VLOOKUP($C36,'DETAILED ESTIMATE'!$C$20:$R$1258,7,0))</f>
        <v>71124.258550468483</v>
      </c>
      <c r="G36" s="21">
        <f>(VLOOKUP($C36,'DETAILED ESTIMATE'!$C$20:$R$1258,14,0))+'DETAILED ESTIMATE'!$Q$8*(VLOOKUP($C36,'DETAILED ESTIMATE'!$C$20:$R$1258,14,0))+'DETAILED ESTIMATE'!$Q$9*(VLOOKUP($C36,'DETAILED ESTIMATE'!$C$20:$R$1258,14,0))+'DETAILED ESTIMATE'!$Q$10*((VLOOKUP($C36,'DETAILED ESTIMATE'!$C$20:$R$1258,14,0))+'DETAILED ESTIMATE'!$Q$8*(VLOOKUP($C36,'DETAILED ESTIMATE'!$C$20:$R$1258,14,0))+'DETAILED ESTIMATE'!$Q$9*(VLOOKUP($C36,'DETAILED ESTIMATE'!$C$20:$R$1258,14,0)))+'DETAILED ESTIMATE'!$Q$11*(VLOOKUP($C36,'DETAILED ESTIMATE'!$C$20:$R$1258,14,0))</f>
        <v>76562.622549865075</v>
      </c>
      <c r="H36" s="100">
        <f>VLOOKUP($C36,'DETAILED ESTIMATE'!$C$20:$R$1258,16,0)</f>
        <v>147686.88110033353</v>
      </c>
    </row>
    <row r="37" spans="2:8" ht="13.5" thickBot="1" x14ac:dyDescent="0.25">
      <c r="B37" s="64" t="str">
        <f>IF(H37&lt;&gt;"",1+MAX($B$15:B36),"")</f>
        <v/>
      </c>
      <c r="C37" s="134"/>
      <c r="D37" s="81"/>
      <c r="E37" s="130"/>
      <c r="F37" s="130"/>
      <c r="G37" s="130"/>
      <c r="H37" s="131"/>
    </row>
    <row r="38" spans="2:8" ht="16.5" thickBot="1" x14ac:dyDescent="0.25">
      <c r="B38" s="122">
        <f>IF(H38&lt;&gt;"",1+MAX($B$15:B37),"")</f>
        <v>20</v>
      </c>
      <c r="C38" s="108"/>
      <c r="D38" s="123" t="s">
        <v>157</v>
      </c>
      <c r="E38" s="124" t="str">
        <f>ROUNDUP('DETAILED ESTIMATE'!R13,0) &amp; " " &amp; "HRS"</f>
        <v>13369 HRS</v>
      </c>
      <c r="F38" s="125"/>
      <c r="G38" s="125"/>
      <c r="H38" s="136">
        <f>SUM(H18:H37)</f>
        <v>2194319.3293300588</v>
      </c>
    </row>
    <row r="39" spans="2:8" ht="13.5" thickBot="1" x14ac:dyDescent="0.25">
      <c r="B39" s="119" t="str">
        <f>IF(H39&lt;&gt;"",1+MAX($B$15:B38),"")</f>
        <v/>
      </c>
      <c r="C39" s="120"/>
      <c r="D39" s="101"/>
      <c r="E39" s="102"/>
      <c r="F39" s="102"/>
      <c r="G39" s="102"/>
      <c r="H39" s="121"/>
    </row>
  </sheetData>
  <mergeCells count="12">
    <mergeCell ref="B14:H14"/>
    <mergeCell ref="J9:N9"/>
    <mergeCell ref="B11:C11"/>
    <mergeCell ref="E11:H11"/>
    <mergeCell ref="B12:C13"/>
    <mergeCell ref="E12:H13"/>
    <mergeCell ref="J8:N8"/>
    <mergeCell ref="B2:H2"/>
    <mergeCell ref="I2:M2"/>
    <mergeCell ref="J5:N5"/>
    <mergeCell ref="J6:N6"/>
    <mergeCell ref="J7:N7"/>
  </mergeCells>
  <printOptions horizontalCentered="1"/>
  <pageMargins left="0.25" right="0.25" top="0.375" bottom="0.375" header="0.25" footer="0.25"/>
  <pageSetup paperSize="9" fitToHeight="0" orientation="landscape" horizontalDpi="300" verticalDpi="300" r:id="rId1"/>
  <headerFooter alignWithMargins="0">
    <oddFooter>&amp;R&amp;"Arial,Bold"&amp;P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AJ1260"/>
  <sheetViews>
    <sheetView showGridLines="0" showZeros="0" tabSelected="1" view="pageBreakPreview" zoomScale="85" zoomScaleNormal="100" zoomScaleSheetLayoutView="85" workbookViewId="0">
      <selection activeCell="D30" sqref="D30"/>
    </sheetView>
  </sheetViews>
  <sheetFormatPr defaultColWidth="9.140625" defaultRowHeight="12.75" x14ac:dyDescent="0.2"/>
  <cols>
    <col min="1" max="1" width="1" style="8" customWidth="1"/>
    <col min="2" max="2" width="6.7109375" style="8" customWidth="1"/>
    <col min="3" max="3" width="12.7109375" style="8" customWidth="1"/>
    <col min="4" max="4" width="60.7109375" style="1" customWidth="1"/>
    <col min="5" max="6" width="12.7109375" style="8" customWidth="1"/>
    <col min="7" max="7" width="12.7109375" style="10" hidden="1" customWidth="1"/>
    <col min="8" max="10" width="12.7109375" style="10" customWidth="1"/>
    <col min="11" max="11" width="12.7109375" style="8" customWidth="1"/>
    <col min="12" max="12" width="12.7109375" style="8" hidden="1" customWidth="1"/>
    <col min="13" max="13" width="12.7109375" style="10" hidden="1" customWidth="1"/>
    <col min="14" max="14" width="12.7109375" style="10" customWidth="1"/>
    <col min="15" max="15" width="12.7109375" style="8" customWidth="1"/>
    <col min="16" max="18" width="12.7109375" style="10" customWidth="1"/>
    <col min="19" max="19" width="12.7109375" style="8" customWidth="1"/>
    <col min="20" max="21" width="12.7109375" style="8" hidden="1" customWidth="1"/>
    <col min="22" max="16384" width="9.140625" style="8"/>
  </cols>
  <sheetData>
    <row r="1" spans="2:26" ht="18.75" x14ac:dyDescent="0.2">
      <c r="G1" s="20"/>
      <c r="H1" s="20"/>
      <c r="I1" s="20"/>
      <c r="J1" s="20"/>
      <c r="M1" s="20"/>
      <c r="N1" s="20"/>
      <c r="P1" s="20"/>
      <c r="Q1" s="20"/>
      <c r="R1" s="20"/>
      <c r="T1" s="16" t="s">
        <v>36</v>
      </c>
      <c r="U1" s="16" t="s">
        <v>37</v>
      </c>
    </row>
    <row r="2" spans="2:26" ht="21.95" customHeight="1" thickBot="1" x14ac:dyDescent="0.25">
      <c r="B2" s="161" t="s">
        <v>0</v>
      </c>
      <c r="C2" s="161"/>
      <c r="D2" s="161"/>
      <c r="E2" s="161"/>
      <c r="F2" s="161"/>
      <c r="G2" s="161"/>
      <c r="H2" s="161"/>
      <c r="I2" s="161"/>
      <c r="J2" s="161"/>
      <c r="K2" s="161"/>
      <c r="L2" s="161"/>
      <c r="M2" s="161"/>
      <c r="N2" s="161"/>
      <c r="O2" s="161"/>
      <c r="P2" s="161"/>
      <c r="Q2" s="161"/>
      <c r="R2" s="161"/>
      <c r="T2" s="15">
        <v>0.95199999999999996</v>
      </c>
      <c r="U2" s="15">
        <v>0.73099999999999998</v>
      </c>
    </row>
    <row r="3" spans="2:26" ht="15.75" x14ac:dyDescent="0.2">
      <c r="B3" s="113"/>
      <c r="C3" s="114"/>
      <c r="D3" s="114"/>
      <c r="E3" s="114"/>
      <c r="F3" s="114"/>
      <c r="G3" s="114"/>
      <c r="H3" s="114"/>
      <c r="I3" s="114"/>
      <c r="J3" s="181" t="s">
        <v>33</v>
      </c>
      <c r="K3" s="182"/>
      <c r="L3" s="182"/>
      <c r="M3" s="182"/>
      <c r="N3" s="182"/>
      <c r="O3" s="182"/>
      <c r="P3" s="182"/>
      <c r="Q3" s="182"/>
      <c r="R3" s="183"/>
    </row>
    <row r="4" spans="2:26" ht="12.6" customHeight="1" x14ac:dyDescent="0.2">
      <c r="B4" s="37"/>
      <c r="D4" s="8"/>
      <c r="G4" s="8"/>
      <c r="H4" s="8"/>
      <c r="I4" s="18"/>
      <c r="J4" s="184" t="s">
        <v>26</v>
      </c>
      <c r="K4" s="185"/>
      <c r="L4" s="185"/>
      <c r="M4" s="185"/>
      <c r="N4" s="185"/>
      <c r="O4" s="185"/>
      <c r="P4" s="186"/>
      <c r="Q4" s="6"/>
      <c r="R4" s="36">
        <f>SUM(I20:I1258)/2</f>
        <v>907334.9549200749</v>
      </c>
    </row>
    <row r="5" spans="2:26" ht="12.6" customHeight="1" x14ac:dyDescent="0.2">
      <c r="B5" s="37"/>
      <c r="D5" s="8"/>
      <c r="G5" s="8"/>
      <c r="H5" s="8"/>
      <c r="I5" s="18"/>
      <c r="J5" s="184" t="s">
        <v>27</v>
      </c>
      <c r="K5" s="185"/>
      <c r="L5" s="185"/>
      <c r="M5" s="185"/>
      <c r="N5" s="185"/>
      <c r="O5" s="185"/>
      <c r="P5" s="186"/>
      <c r="Q5" s="6"/>
      <c r="R5" s="36">
        <f>SUM(P20:P1258)/2</f>
        <v>649836.57903270226</v>
      </c>
    </row>
    <row r="6" spans="2:26" ht="12.6" customHeight="1" x14ac:dyDescent="0.2">
      <c r="B6" s="37"/>
      <c r="G6" s="8"/>
      <c r="H6" s="8"/>
      <c r="I6" s="18"/>
      <c r="J6" s="184" t="s">
        <v>28</v>
      </c>
      <c r="K6" s="185"/>
      <c r="L6" s="185"/>
      <c r="M6" s="185"/>
      <c r="N6" s="185"/>
      <c r="O6" s="185"/>
      <c r="P6" s="186"/>
      <c r="Q6" s="5"/>
      <c r="R6" s="36">
        <f>SUM(R4:R5)</f>
        <v>1557171.5339527773</v>
      </c>
      <c r="T6" s="18"/>
      <c r="U6" s="18"/>
      <c r="V6" s="18"/>
      <c r="W6" s="18"/>
      <c r="X6" s="18"/>
      <c r="Z6" s="2"/>
    </row>
    <row r="7" spans="2:26" ht="12.6" customHeight="1" x14ac:dyDescent="0.2">
      <c r="B7" s="37"/>
      <c r="G7" s="8"/>
      <c r="H7" s="8"/>
      <c r="I7" s="18"/>
      <c r="J7" s="184" t="s">
        <v>29</v>
      </c>
      <c r="K7" s="185"/>
      <c r="L7" s="185"/>
      <c r="M7" s="185"/>
      <c r="N7" s="185"/>
      <c r="O7" s="185"/>
      <c r="P7" s="186"/>
      <c r="Q7" s="3">
        <v>7.0000000000000007E-2</v>
      </c>
      <c r="R7" s="36">
        <f>R4*Q7</f>
        <v>63513.446844405247</v>
      </c>
      <c r="Z7" s="2"/>
    </row>
    <row r="8" spans="2:26" ht="12.6" customHeight="1" x14ac:dyDescent="0.2">
      <c r="B8" s="37"/>
      <c r="D8"/>
      <c r="G8" s="8"/>
      <c r="H8" s="8"/>
      <c r="I8" s="18"/>
      <c r="J8" s="184" t="s">
        <v>30</v>
      </c>
      <c r="K8" s="185"/>
      <c r="L8" s="185"/>
      <c r="M8" s="185"/>
      <c r="N8" s="185"/>
      <c r="O8" s="185"/>
      <c r="P8" s="186"/>
      <c r="Q8" s="3">
        <v>0.1</v>
      </c>
      <c r="R8" s="36">
        <f>R5*Q8</f>
        <v>64983.657903270228</v>
      </c>
      <c r="T8" s="18"/>
      <c r="U8" s="18"/>
      <c r="V8" s="18"/>
      <c r="W8" s="18"/>
      <c r="X8" s="18"/>
      <c r="Y8" s="4"/>
      <c r="Z8" s="2"/>
    </row>
    <row r="9" spans="2:26" ht="12.6" customHeight="1" x14ac:dyDescent="0.2">
      <c r="B9" s="37"/>
      <c r="D9" s="17"/>
      <c r="G9" s="8"/>
      <c r="H9" s="8"/>
      <c r="I9" s="18"/>
      <c r="J9" s="184" t="s">
        <v>38</v>
      </c>
      <c r="K9" s="185"/>
      <c r="L9" s="185"/>
      <c r="M9" s="185"/>
      <c r="N9" s="185"/>
      <c r="O9" s="185"/>
      <c r="P9" s="186"/>
      <c r="Q9" s="3">
        <v>0.25</v>
      </c>
      <c r="R9" s="36">
        <f>R6*Q9</f>
        <v>389292.88348819432</v>
      </c>
      <c r="T9" s="18"/>
      <c r="U9" s="18"/>
      <c r="V9" s="18"/>
      <c r="W9" s="18"/>
      <c r="X9" s="18"/>
      <c r="Y9" s="4"/>
      <c r="Z9" s="2"/>
    </row>
    <row r="10" spans="2:26" ht="12.6" customHeight="1" x14ac:dyDescent="0.2">
      <c r="B10" s="37"/>
      <c r="D10" s="17"/>
      <c r="G10" s="8"/>
      <c r="H10" s="8"/>
      <c r="I10" s="18"/>
      <c r="J10" s="184" t="s">
        <v>31</v>
      </c>
      <c r="K10" s="185"/>
      <c r="L10" s="185"/>
      <c r="M10" s="185"/>
      <c r="N10" s="185"/>
      <c r="O10" s="185"/>
      <c r="P10" s="186"/>
      <c r="Q10" s="3">
        <v>0.02</v>
      </c>
      <c r="R10" s="36">
        <f>SUM(R6:R9)*Q10</f>
        <v>41499.230443772947</v>
      </c>
      <c r="T10" s="18"/>
      <c r="U10" s="18"/>
      <c r="V10" s="18"/>
      <c r="W10" s="18"/>
      <c r="X10" s="18"/>
      <c r="Y10" s="4"/>
      <c r="Z10" s="2"/>
    </row>
    <row r="11" spans="2:26" ht="12.6" customHeight="1" x14ac:dyDescent="0.2">
      <c r="B11" s="37"/>
      <c r="G11" s="8"/>
      <c r="H11" s="8"/>
      <c r="I11" s="18"/>
      <c r="J11" s="184" t="s">
        <v>32</v>
      </c>
      <c r="K11" s="185"/>
      <c r="L11" s="185"/>
      <c r="M11" s="185"/>
      <c r="N11" s="185"/>
      <c r="O11" s="185"/>
      <c r="P11" s="186"/>
      <c r="Q11" s="3">
        <v>0.05</v>
      </c>
      <c r="R11" s="36">
        <f>R6*Q11</f>
        <v>77858.57669763887</v>
      </c>
      <c r="S11" s="22"/>
      <c r="T11" s="18"/>
      <c r="U11" s="18"/>
      <c r="V11" s="18"/>
      <c r="W11" s="18"/>
      <c r="X11" s="18"/>
      <c r="Y11" s="4"/>
      <c r="Z11" s="2"/>
    </row>
    <row r="12" spans="2:26" x14ac:dyDescent="0.2">
      <c r="B12" s="38"/>
      <c r="C12" s="13"/>
      <c r="D12" s="13"/>
      <c r="E12" s="13"/>
      <c r="F12" s="13"/>
      <c r="G12" s="13"/>
      <c r="H12" s="13"/>
      <c r="I12" s="13"/>
      <c r="J12" s="188" t="s">
        <v>33</v>
      </c>
      <c r="K12" s="189"/>
      <c r="L12" s="189"/>
      <c r="M12" s="189"/>
      <c r="N12" s="189"/>
      <c r="O12" s="189"/>
      <c r="P12" s="190"/>
      <c r="Q12" s="26"/>
      <c r="R12" s="39">
        <f>SUM(R6:R11)</f>
        <v>2194319.3293300588</v>
      </c>
      <c r="T12" s="18"/>
      <c r="U12" s="18"/>
      <c r="V12" s="18"/>
      <c r="W12" s="18"/>
      <c r="X12" s="18"/>
      <c r="Z12" s="2"/>
    </row>
    <row r="13" spans="2:26" ht="13.5" thickBot="1" x14ac:dyDescent="0.25">
      <c r="B13" s="115"/>
      <c r="C13" s="116"/>
      <c r="D13" s="116"/>
      <c r="E13" s="116"/>
      <c r="F13" s="116"/>
      <c r="G13" s="116"/>
      <c r="H13" s="116"/>
      <c r="I13" s="117"/>
      <c r="J13" s="191" t="s">
        <v>39</v>
      </c>
      <c r="K13" s="192"/>
      <c r="L13" s="192"/>
      <c r="M13" s="192"/>
      <c r="N13" s="192"/>
      <c r="O13" s="192"/>
      <c r="P13" s="193"/>
      <c r="Q13" s="91"/>
      <c r="R13" s="118">
        <f>SUM(K21:K1258)</f>
        <v>13368.126682037489</v>
      </c>
    </row>
    <row r="14" spans="2:26" ht="12.75" customHeight="1" x14ac:dyDescent="0.2">
      <c r="B14" s="151" t="s">
        <v>35</v>
      </c>
      <c r="C14" s="152"/>
      <c r="D14" s="90" t="s">
        <v>34</v>
      </c>
      <c r="E14" s="178" t="s">
        <v>58</v>
      </c>
      <c r="F14" s="179"/>
      <c r="G14" s="179"/>
      <c r="H14" s="179"/>
      <c r="I14" s="180"/>
      <c r="J14" s="152" t="s">
        <v>24</v>
      </c>
      <c r="K14" s="152"/>
      <c r="L14" s="152"/>
      <c r="M14" s="152"/>
      <c r="N14" s="152"/>
      <c r="O14" s="152"/>
      <c r="P14" s="152"/>
      <c r="Q14" s="152"/>
      <c r="R14" s="177"/>
    </row>
    <row r="15" spans="2:26" ht="12.75" customHeight="1" x14ac:dyDescent="0.2">
      <c r="B15" s="155">
        <v>46304</v>
      </c>
      <c r="C15" s="156"/>
      <c r="D15" s="156" t="s">
        <v>158</v>
      </c>
      <c r="E15" s="199" t="s">
        <v>1033</v>
      </c>
      <c r="F15" s="200"/>
      <c r="G15" s="200"/>
      <c r="H15" s="200"/>
      <c r="I15" s="201"/>
      <c r="J15" s="156" t="s">
        <v>865</v>
      </c>
      <c r="K15" s="156"/>
      <c r="L15" s="156"/>
      <c r="M15" s="156"/>
      <c r="N15" s="156"/>
      <c r="O15" s="156"/>
      <c r="P15" s="156"/>
      <c r="Q15" s="156"/>
      <c r="R15" s="159"/>
    </row>
    <row r="16" spans="2:26" x14ac:dyDescent="0.2">
      <c r="B16" s="175"/>
      <c r="C16" s="176"/>
      <c r="D16" s="176"/>
      <c r="E16" s="202" t="s">
        <v>866</v>
      </c>
      <c r="F16" s="203"/>
      <c r="G16" s="203"/>
      <c r="H16" s="203"/>
      <c r="I16" s="204"/>
      <c r="J16" s="176"/>
      <c r="K16" s="176"/>
      <c r="L16" s="176"/>
      <c r="M16" s="176"/>
      <c r="N16" s="176"/>
      <c r="O16" s="176"/>
      <c r="P16" s="176"/>
      <c r="Q16" s="176"/>
      <c r="R16" s="187"/>
    </row>
    <row r="17" spans="2:19" ht="12.75" customHeight="1" x14ac:dyDescent="0.2">
      <c r="B17" s="162" t="s">
        <v>3</v>
      </c>
      <c r="C17" s="164" t="s">
        <v>55</v>
      </c>
      <c r="D17" s="166" t="s">
        <v>1</v>
      </c>
      <c r="E17" s="164" t="s">
        <v>4</v>
      </c>
      <c r="F17" s="166" t="s">
        <v>18</v>
      </c>
      <c r="G17" s="167" t="s">
        <v>17</v>
      </c>
      <c r="H17" s="167"/>
      <c r="I17" s="168"/>
      <c r="J17" s="171" t="s">
        <v>16</v>
      </c>
      <c r="K17" s="171"/>
      <c r="L17" s="171"/>
      <c r="M17" s="171"/>
      <c r="N17" s="171"/>
      <c r="O17" s="168"/>
      <c r="P17" s="168"/>
      <c r="Q17" s="172" t="s">
        <v>2</v>
      </c>
      <c r="R17" s="169" t="s">
        <v>65</v>
      </c>
    </row>
    <row r="18" spans="2:19" ht="27.75" customHeight="1" thickBot="1" x14ac:dyDescent="0.25">
      <c r="B18" s="163"/>
      <c r="C18" s="174"/>
      <c r="D18" s="165"/>
      <c r="E18" s="165"/>
      <c r="F18" s="165"/>
      <c r="G18" s="92" t="s">
        <v>15</v>
      </c>
      <c r="H18" s="93" t="s">
        <v>15</v>
      </c>
      <c r="I18" s="93" t="s">
        <v>14</v>
      </c>
      <c r="J18" s="94" t="s">
        <v>19</v>
      </c>
      <c r="K18" s="94" t="s">
        <v>5</v>
      </c>
      <c r="L18" s="95" t="s">
        <v>56</v>
      </c>
      <c r="M18" s="95" t="s">
        <v>57</v>
      </c>
      <c r="N18" s="94" t="s">
        <v>57</v>
      </c>
      <c r="O18" s="94" t="s">
        <v>15</v>
      </c>
      <c r="P18" s="93" t="s">
        <v>14</v>
      </c>
      <c r="Q18" s="173"/>
      <c r="R18" s="170"/>
      <c r="S18" s="9"/>
    </row>
    <row r="19" spans="2:19" s="9" customFormat="1" ht="13.5" thickBot="1" x14ac:dyDescent="0.25">
      <c r="B19" s="82" t="str">
        <f>IF(F19&lt;&gt;"",1+MAX($B$1:B18),"")</f>
        <v/>
      </c>
      <c r="C19" s="83"/>
      <c r="D19" s="84"/>
      <c r="F19" s="85"/>
      <c r="G19" s="86"/>
      <c r="H19" s="86"/>
      <c r="I19" s="87"/>
      <c r="J19" s="87"/>
      <c r="M19" s="87"/>
      <c r="N19" s="87"/>
      <c r="O19" s="86"/>
      <c r="P19" s="87"/>
      <c r="Q19" s="88"/>
      <c r="R19" s="89"/>
    </row>
    <row r="20" spans="2:19" s="9" customFormat="1" ht="26.25" thickBot="1" x14ac:dyDescent="0.25">
      <c r="B20" s="59" t="str">
        <f>IF(F20&lt;&gt;"",1+MAX($B$1:B19),"")</f>
        <v/>
      </c>
      <c r="C20" s="65" t="s">
        <v>40</v>
      </c>
      <c r="D20" s="72" t="s">
        <v>6</v>
      </c>
      <c r="E20" s="51"/>
      <c r="F20" s="51"/>
      <c r="G20" s="51"/>
      <c r="H20" s="52" t="s">
        <v>61</v>
      </c>
      <c r="I20" s="53">
        <f>SUM(I21:I23)</f>
        <v>0</v>
      </c>
      <c r="J20" s="54" t="s">
        <v>155</v>
      </c>
      <c r="K20" s="55" t="str">
        <f>ROUND(SUM(K21:K23),0) &amp; " " &amp; "HRS"</f>
        <v>0 HRS</v>
      </c>
      <c r="L20" s="56"/>
      <c r="M20" s="56"/>
      <c r="N20" s="56"/>
      <c r="O20" s="52" t="s">
        <v>62</v>
      </c>
      <c r="P20" s="53">
        <f>SUM(P21:P23)</f>
        <v>115500</v>
      </c>
      <c r="Q20" s="57">
        <f>SUM(Q21:Q23)</f>
        <v>115500</v>
      </c>
      <c r="R20" s="58">
        <f>(Q20)+(I20*$Q$7)+(P20*$Q$8)+(Q20*$Q$9)+($Q$10*((Q20)+(I20*$Q$7)+(P20*$Q$8)+(Q20*$Q$9)))+(Q20*$Q$11)</f>
        <v>164818.5</v>
      </c>
    </row>
    <row r="21" spans="2:19" x14ac:dyDescent="0.2">
      <c r="B21" s="60"/>
      <c r="C21" s="66"/>
      <c r="D21" s="40"/>
      <c r="E21" s="46"/>
      <c r="F21" s="47"/>
      <c r="G21" s="48"/>
      <c r="H21" s="48">
        <f>G21*$T$2</f>
        <v>0</v>
      </c>
      <c r="I21" s="48">
        <f t="shared" ref="I21" si="0">F21*H21</f>
        <v>0</v>
      </c>
      <c r="J21" s="49"/>
      <c r="K21" s="50">
        <f>F21*J21</f>
        <v>0</v>
      </c>
      <c r="L21" s="50"/>
      <c r="M21" s="48"/>
      <c r="N21" s="48">
        <f>M21*$U$2</f>
        <v>0</v>
      </c>
      <c r="O21" s="48">
        <f>J21*N21</f>
        <v>0</v>
      </c>
      <c r="P21" s="48">
        <f>F21*O21</f>
        <v>0</v>
      </c>
      <c r="Q21" s="48">
        <f t="shared" ref="Q21" si="1">I21+P21</f>
        <v>0</v>
      </c>
      <c r="R21" s="41">
        <f t="shared" ref="R21" si="2">Q21+(I21*$Q$7)+(P21*$Q$8)+(Q21*$Q$9)+(Q21*$Q$11)+($Q$10*(Q21+(I21*$Q$7)+(P21*$Q$8)+(Q21*$Q$9)))</f>
        <v>0</v>
      </c>
      <c r="S21" s="9"/>
    </row>
    <row r="22" spans="2:19" s="9" customFormat="1" x14ac:dyDescent="0.2">
      <c r="B22" s="61">
        <f>IF(F22&lt;&gt;"",1+MAX($B$21:B21),"")</f>
        <v>1</v>
      </c>
      <c r="C22" s="67"/>
      <c r="D22" s="73" t="s">
        <v>59</v>
      </c>
      <c r="E22" s="14" t="s">
        <v>60</v>
      </c>
      <c r="F22" s="19">
        <v>1</v>
      </c>
      <c r="G22" s="205"/>
      <c r="H22" s="205">
        <f t="shared" ref="H22:H23" si="3">G22*$T$2</f>
        <v>0</v>
      </c>
      <c r="I22" s="205">
        <f t="shared" ref="I22:I23" si="4">F22*H22</f>
        <v>0</v>
      </c>
      <c r="J22" s="206"/>
      <c r="K22" s="207">
        <f t="shared" ref="K22:K23" si="5">F22*J22</f>
        <v>0</v>
      </c>
      <c r="L22" s="207"/>
      <c r="M22" s="205"/>
      <c r="N22" s="205">
        <f t="shared" ref="N22:N23" si="6">M22*$U$2</f>
        <v>0</v>
      </c>
      <c r="O22" s="48">
        <v>115500</v>
      </c>
      <c r="P22" s="48">
        <f t="shared" ref="P22:P23" si="7">F22*O22</f>
        <v>115500</v>
      </c>
      <c r="Q22" s="48">
        <f t="shared" ref="Q22:Q23" si="8">I22+P22</f>
        <v>115500</v>
      </c>
      <c r="R22" s="41">
        <f t="shared" ref="R22:R23" si="9">Q22+(I22*$Q$7)+(P22*$Q$8)+(Q22*$Q$9)+(Q22*$Q$11)+($Q$10*(Q22+(I22*$Q$7)+(P22*$Q$8)+(Q22*$Q$9)))</f>
        <v>164818.5</v>
      </c>
      <c r="S22" s="34"/>
    </row>
    <row r="23" spans="2:19" s="9" customFormat="1" ht="13.5" thickBot="1" x14ac:dyDescent="0.25">
      <c r="B23" s="61" t="str">
        <f>IF(F23&lt;&gt;"",1+MAX($B$21:B22),"")</f>
        <v/>
      </c>
      <c r="C23" s="67"/>
      <c r="D23" s="73"/>
      <c r="E23" s="14"/>
      <c r="F23" s="19"/>
      <c r="G23" s="48"/>
      <c r="H23" s="48">
        <f t="shared" si="3"/>
        <v>0</v>
      </c>
      <c r="I23" s="48">
        <f t="shared" si="4"/>
        <v>0</v>
      </c>
      <c r="J23" s="49"/>
      <c r="K23" s="50">
        <f t="shared" si="5"/>
        <v>0</v>
      </c>
      <c r="L23" s="50"/>
      <c r="M23" s="48"/>
      <c r="N23" s="48">
        <f t="shared" si="6"/>
        <v>0</v>
      </c>
      <c r="O23" s="48">
        <f t="shared" ref="O22:O23" si="10">J23*N23</f>
        <v>0</v>
      </c>
      <c r="P23" s="48">
        <f t="shared" si="7"/>
        <v>0</v>
      </c>
      <c r="Q23" s="48">
        <f t="shared" si="8"/>
        <v>0</v>
      </c>
      <c r="R23" s="41">
        <f t="shared" si="9"/>
        <v>0</v>
      </c>
    </row>
    <row r="24" spans="2:19" s="9" customFormat="1" ht="26.25" thickBot="1" x14ac:dyDescent="0.25">
      <c r="B24" s="59" t="str">
        <f>IF(F24&lt;&gt;"",1+MAX($B$21:B23),"")</f>
        <v/>
      </c>
      <c r="C24" s="65" t="s">
        <v>41</v>
      </c>
      <c r="D24" s="72" t="s">
        <v>7</v>
      </c>
      <c r="E24" s="51"/>
      <c r="F24" s="51"/>
      <c r="G24" s="51"/>
      <c r="H24" s="52" t="s">
        <v>61</v>
      </c>
      <c r="I24" s="53">
        <f>SUM(I25:I40)</f>
        <v>0</v>
      </c>
      <c r="J24" s="54" t="s">
        <v>155</v>
      </c>
      <c r="K24" s="55" t="str">
        <f>ROUND(SUM(K25:K40),0) &amp; " " &amp; "HRS"</f>
        <v>2747 HRS</v>
      </c>
      <c r="L24" s="56"/>
      <c r="M24" s="56"/>
      <c r="N24" s="56"/>
      <c r="O24" s="52" t="s">
        <v>62</v>
      </c>
      <c r="P24" s="53">
        <f>SUM(P25:P40)</f>
        <v>121063.61094266</v>
      </c>
      <c r="Q24" s="57">
        <f>SUM(Q25:Q40)</f>
        <v>121063.61094266</v>
      </c>
      <c r="R24" s="58">
        <f>(Q24)+(I24*$Q$7)+(P24*$Q$8)+(Q24*$Q$9)+($Q$10*((Q24)+(I24*$Q$7)+(P24*$Q$8)+(Q24*$Q$9)))+(Q24*$Q$11)</f>
        <v>172757.77281517585</v>
      </c>
    </row>
    <row r="25" spans="2:19" x14ac:dyDescent="0.2">
      <c r="B25" s="61" t="str">
        <f>IF(F25&lt;&gt;"",1+MAX($B$21:B24),"")</f>
        <v/>
      </c>
      <c r="C25" s="67"/>
      <c r="D25" s="73"/>
      <c r="E25" s="14"/>
      <c r="F25" s="19"/>
      <c r="G25" s="48"/>
      <c r="H25" s="48">
        <f t="shared" ref="H25:H41" si="11">G25*$T$2</f>
        <v>0</v>
      </c>
      <c r="I25" s="48">
        <f t="shared" ref="I25:I41" si="12">F25*H25</f>
        <v>0</v>
      </c>
      <c r="J25" s="49"/>
      <c r="K25" s="50">
        <f t="shared" ref="K25:K41" si="13">F25*J25</f>
        <v>0</v>
      </c>
      <c r="L25" s="50"/>
      <c r="M25" s="48"/>
      <c r="N25" s="48">
        <f t="shared" ref="N25:N41" si="14">M25*$U$2</f>
        <v>0</v>
      </c>
      <c r="O25" s="48">
        <f t="shared" ref="O25:O41" si="15">J25*N25</f>
        <v>0</v>
      </c>
      <c r="P25" s="48">
        <f t="shared" ref="P25:P41" si="16">F25*O25</f>
        <v>0</v>
      </c>
      <c r="Q25" s="48">
        <f t="shared" ref="Q25:Q41" si="17">I25+P25</f>
        <v>0</v>
      </c>
      <c r="R25" s="41">
        <f t="shared" ref="R25:R41" si="18">Q25+(I25*$Q$7)+(P25*$Q$8)+(Q25*$Q$9)+(Q25*$Q$11)+($Q$10*(Q25+(I25*$Q$7)+(P25*$Q$8)+(Q25*$Q$9)))</f>
        <v>0</v>
      </c>
      <c r="S25" s="9"/>
    </row>
    <row r="26" spans="2:19" x14ac:dyDescent="0.2">
      <c r="B26" s="62" t="str">
        <f>IF(F26&lt;&gt;"",1+MAX($B$21:B25),"")</f>
        <v/>
      </c>
      <c r="C26" s="68"/>
      <c r="D26" s="74" t="s">
        <v>153</v>
      </c>
      <c r="E26" s="14"/>
      <c r="F26" s="19"/>
      <c r="G26" s="48"/>
      <c r="H26" s="48">
        <f t="shared" si="11"/>
        <v>0</v>
      </c>
      <c r="I26" s="48">
        <f t="shared" si="12"/>
        <v>0</v>
      </c>
      <c r="J26" s="49"/>
      <c r="K26" s="50">
        <f t="shared" si="13"/>
        <v>0</v>
      </c>
      <c r="L26" s="50"/>
      <c r="M26" s="48"/>
      <c r="N26" s="48">
        <f t="shared" si="14"/>
        <v>0</v>
      </c>
      <c r="O26" s="48">
        <f t="shared" si="15"/>
        <v>0</v>
      </c>
      <c r="P26" s="48">
        <f t="shared" si="16"/>
        <v>0</v>
      </c>
      <c r="Q26" s="48">
        <f t="shared" si="17"/>
        <v>0</v>
      </c>
      <c r="R26" s="41">
        <f t="shared" si="18"/>
        <v>0</v>
      </c>
    </row>
    <row r="27" spans="2:19" x14ac:dyDescent="0.2">
      <c r="B27" s="61">
        <f>IF(F27&lt;&gt;"",1+MAX($B$21:B26),"")</f>
        <v>2</v>
      </c>
      <c r="C27" s="198" t="s">
        <v>867</v>
      </c>
      <c r="D27" s="73" t="s">
        <v>868</v>
      </c>
      <c r="E27" s="14" t="s">
        <v>74</v>
      </c>
      <c r="F27" s="19">
        <v>987.22</v>
      </c>
      <c r="G27" s="27"/>
      <c r="H27" s="27">
        <f t="shared" si="11"/>
        <v>0</v>
      </c>
      <c r="I27" s="27">
        <f t="shared" si="12"/>
        <v>0</v>
      </c>
      <c r="J27" s="11">
        <v>0.16500000000000001</v>
      </c>
      <c r="K27" s="7">
        <f t="shared" si="13"/>
        <v>162.8913</v>
      </c>
      <c r="L27" s="28" t="s">
        <v>1045</v>
      </c>
      <c r="M27" s="29">
        <v>42.1</v>
      </c>
      <c r="N27" s="48">
        <f t="shared" si="14"/>
        <v>30.775100000000002</v>
      </c>
      <c r="O27" s="48">
        <f t="shared" si="15"/>
        <v>5.0778915000000007</v>
      </c>
      <c r="P27" s="48">
        <f t="shared" si="16"/>
        <v>5012.9960466300008</v>
      </c>
      <c r="Q27" s="48">
        <f t="shared" si="17"/>
        <v>5012.9960466300008</v>
      </c>
      <c r="R27" s="41">
        <f t="shared" si="18"/>
        <v>7153.5453585410114</v>
      </c>
    </row>
    <row r="28" spans="2:19" x14ac:dyDescent="0.2">
      <c r="B28" s="61">
        <f>IF(F28&lt;&gt;"",1+MAX($B$21:B27),"")</f>
        <v>3</v>
      </c>
      <c r="C28" s="196"/>
      <c r="D28" s="73" t="s">
        <v>869</v>
      </c>
      <c r="E28" s="14" t="s">
        <v>870</v>
      </c>
      <c r="F28" s="19">
        <f>4489*20</f>
        <v>89780</v>
      </c>
      <c r="G28" s="27"/>
      <c r="H28" s="27">
        <f t="shared" si="11"/>
        <v>0</v>
      </c>
      <c r="I28" s="27">
        <f t="shared" si="12"/>
        <v>0</v>
      </c>
      <c r="J28" s="11">
        <v>8.9999999999999993E-3</v>
      </c>
      <c r="K28" s="7">
        <f t="shared" si="13"/>
        <v>808.02</v>
      </c>
      <c r="L28" s="28" t="s">
        <v>1046</v>
      </c>
      <c r="M28" s="29">
        <v>94.03</v>
      </c>
      <c r="N28" s="48">
        <f t="shared" si="14"/>
        <v>68.735929999999996</v>
      </c>
      <c r="O28" s="48">
        <f t="shared" si="15"/>
        <v>0.61862336999999989</v>
      </c>
      <c r="P28" s="48">
        <f t="shared" si="16"/>
        <v>55540.006158599994</v>
      </c>
      <c r="Q28" s="48">
        <f t="shared" si="17"/>
        <v>55540.006158599994</v>
      </c>
      <c r="R28" s="41">
        <f t="shared" si="18"/>
        <v>79255.588788322188</v>
      </c>
    </row>
    <row r="29" spans="2:19" x14ac:dyDescent="0.2">
      <c r="B29" s="61">
        <f>IF(F29&lt;&gt;"",1+MAX($B$21:B28),"")</f>
        <v>4</v>
      </c>
      <c r="C29" s="196"/>
      <c r="D29" s="73" t="s">
        <v>871</v>
      </c>
      <c r="E29" s="14" t="s">
        <v>870</v>
      </c>
      <c r="F29" s="19">
        <f>1714*10</f>
        <v>17140</v>
      </c>
      <c r="G29" s="27"/>
      <c r="H29" s="27">
        <f t="shared" si="11"/>
        <v>0</v>
      </c>
      <c r="I29" s="27">
        <f t="shared" si="12"/>
        <v>0</v>
      </c>
      <c r="J29" s="11">
        <v>8.9999999999999993E-3</v>
      </c>
      <c r="K29" s="7">
        <f t="shared" si="13"/>
        <v>154.26</v>
      </c>
      <c r="L29" s="28" t="s">
        <v>1046</v>
      </c>
      <c r="M29" s="29">
        <v>94.03</v>
      </c>
      <c r="N29" s="48">
        <f t="shared" si="14"/>
        <v>68.735929999999996</v>
      </c>
      <c r="O29" s="48">
        <f t="shared" si="15"/>
        <v>0.61862336999999989</v>
      </c>
      <c r="P29" s="48">
        <f t="shared" si="16"/>
        <v>10603.204561799997</v>
      </c>
      <c r="Q29" s="48">
        <f t="shared" si="17"/>
        <v>10603.204561799997</v>
      </c>
      <c r="R29" s="41">
        <f t="shared" si="18"/>
        <v>15130.772909688596</v>
      </c>
    </row>
    <row r="30" spans="2:19" x14ac:dyDescent="0.2">
      <c r="B30" s="61">
        <f>IF(F30&lt;&gt;"",1+MAX($B$21:B29),"")</f>
        <v>5</v>
      </c>
      <c r="C30" s="196"/>
      <c r="D30" s="73" t="s">
        <v>872</v>
      </c>
      <c r="E30" s="14" t="s">
        <v>72</v>
      </c>
      <c r="F30" s="19">
        <v>390.17</v>
      </c>
      <c r="G30" s="27"/>
      <c r="H30" s="27">
        <f t="shared" si="11"/>
        <v>0</v>
      </c>
      <c r="I30" s="27">
        <f t="shared" si="12"/>
        <v>0</v>
      </c>
      <c r="J30" s="11">
        <v>7.4999999999999997E-2</v>
      </c>
      <c r="K30" s="7">
        <f t="shared" si="13"/>
        <v>29.26275</v>
      </c>
      <c r="L30" s="28" t="s">
        <v>1045</v>
      </c>
      <c r="M30" s="29">
        <v>42.1</v>
      </c>
      <c r="N30" s="48">
        <f t="shared" si="14"/>
        <v>30.775100000000002</v>
      </c>
      <c r="O30" s="48">
        <f t="shared" si="15"/>
        <v>2.3081325000000001</v>
      </c>
      <c r="P30" s="48">
        <f t="shared" si="16"/>
        <v>900.56405752500007</v>
      </c>
      <c r="Q30" s="48">
        <f t="shared" si="17"/>
        <v>900.56405752500007</v>
      </c>
      <c r="R30" s="41">
        <f t="shared" si="18"/>
        <v>1285.1049100881751</v>
      </c>
    </row>
    <row r="31" spans="2:19" x14ac:dyDescent="0.2">
      <c r="B31" s="61">
        <f>IF(F31&lt;&gt;"",1+MAX($B$21:B30),"")</f>
        <v>6</v>
      </c>
      <c r="C31" s="196"/>
      <c r="D31" s="73" t="s">
        <v>873</v>
      </c>
      <c r="E31" s="14" t="s">
        <v>79</v>
      </c>
      <c r="F31" s="19">
        <v>1</v>
      </c>
      <c r="G31" s="27"/>
      <c r="H31" s="27">
        <f t="shared" si="11"/>
        <v>0</v>
      </c>
      <c r="I31" s="27">
        <f t="shared" si="12"/>
        <v>0</v>
      </c>
      <c r="J31" s="11">
        <v>3.5</v>
      </c>
      <c r="K31" s="7">
        <f t="shared" si="13"/>
        <v>3.5</v>
      </c>
      <c r="L31" s="28" t="s">
        <v>1045</v>
      </c>
      <c r="M31" s="29">
        <v>42.1</v>
      </c>
      <c r="N31" s="48">
        <f t="shared" si="14"/>
        <v>30.775100000000002</v>
      </c>
      <c r="O31" s="48">
        <f t="shared" si="15"/>
        <v>107.71285</v>
      </c>
      <c r="P31" s="48">
        <f t="shared" si="16"/>
        <v>107.71285</v>
      </c>
      <c r="Q31" s="48">
        <f t="shared" si="17"/>
        <v>107.71285</v>
      </c>
      <c r="R31" s="41">
        <f t="shared" si="18"/>
        <v>153.70623695</v>
      </c>
    </row>
    <row r="32" spans="2:19" x14ac:dyDescent="0.2">
      <c r="B32" s="61">
        <f>IF(F32&lt;&gt;"",1+MAX($B$21:B31),"")</f>
        <v>7</v>
      </c>
      <c r="C32" s="196"/>
      <c r="D32" s="73" t="s">
        <v>874</v>
      </c>
      <c r="E32" s="14" t="s">
        <v>72</v>
      </c>
      <c r="F32" s="19">
        <v>442.37</v>
      </c>
      <c r="G32" s="27"/>
      <c r="H32" s="27">
        <f t="shared" si="11"/>
        <v>0</v>
      </c>
      <c r="I32" s="27">
        <f t="shared" si="12"/>
        <v>0</v>
      </c>
      <c r="J32" s="11">
        <v>7.4999999999999997E-2</v>
      </c>
      <c r="K32" s="7">
        <f t="shared" si="13"/>
        <v>33.177749999999996</v>
      </c>
      <c r="L32" s="28" t="s">
        <v>1045</v>
      </c>
      <c r="M32" s="29">
        <v>42.1</v>
      </c>
      <c r="N32" s="48">
        <f t="shared" si="14"/>
        <v>30.775100000000002</v>
      </c>
      <c r="O32" s="48">
        <f t="shared" si="15"/>
        <v>2.3081325000000001</v>
      </c>
      <c r="P32" s="48">
        <f t="shared" si="16"/>
        <v>1021.0485740250001</v>
      </c>
      <c r="Q32" s="48">
        <f t="shared" si="17"/>
        <v>1021.0485740250001</v>
      </c>
      <c r="R32" s="41">
        <f t="shared" si="18"/>
        <v>1457.0363151336751</v>
      </c>
    </row>
    <row r="33" spans="2:19" x14ac:dyDescent="0.2">
      <c r="B33" s="61">
        <f>IF(F33&lt;&gt;"",1+MAX($B$21:B32),"")</f>
        <v>8</v>
      </c>
      <c r="C33" s="196"/>
      <c r="D33" s="73" t="s">
        <v>875</v>
      </c>
      <c r="E33" s="14" t="s">
        <v>79</v>
      </c>
      <c r="F33" s="19">
        <v>7</v>
      </c>
      <c r="G33" s="27"/>
      <c r="H33" s="27">
        <f t="shared" si="11"/>
        <v>0</v>
      </c>
      <c r="I33" s="27">
        <f t="shared" si="12"/>
        <v>0</v>
      </c>
      <c r="J33" s="11">
        <v>0.22500000000000001</v>
      </c>
      <c r="K33" s="7">
        <f t="shared" si="13"/>
        <v>1.575</v>
      </c>
      <c r="L33" s="28" t="s">
        <v>1045</v>
      </c>
      <c r="M33" s="29">
        <v>42.1</v>
      </c>
      <c r="N33" s="48">
        <f t="shared" si="14"/>
        <v>30.775100000000002</v>
      </c>
      <c r="O33" s="48">
        <f t="shared" si="15"/>
        <v>6.9243975000000004</v>
      </c>
      <c r="P33" s="48">
        <f t="shared" si="16"/>
        <v>48.470782500000006</v>
      </c>
      <c r="Q33" s="48">
        <f t="shared" si="17"/>
        <v>48.470782500000006</v>
      </c>
      <c r="R33" s="41">
        <f t="shared" si="18"/>
        <v>69.167806627500013</v>
      </c>
    </row>
    <row r="34" spans="2:19" x14ac:dyDescent="0.2">
      <c r="B34" s="61">
        <f>IF(F34&lt;&gt;"",1+MAX($B$21:B33),"")</f>
        <v>9</v>
      </c>
      <c r="C34" s="196"/>
      <c r="D34" s="73" t="s">
        <v>876</v>
      </c>
      <c r="E34" s="14" t="s">
        <v>72</v>
      </c>
      <c r="F34" s="19">
        <v>19363.57</v>
      </c>
      <c r="G34" s="27"/>
      <c r="H34" s="27">
        <f t="shared" si="11"/>
        <v>0</v>
      </c>
      <c r="I34" s="27">
        <f t="shared" si="12"/>
        <v>0</v>
      </c>
      <c r="J34" s="11">
        <v>7.4999999999999997E-2</v>
      </c>
      <c r="K34" s="7">
        <f t="shared" si="13"/>
        <v>1452.26775</v>
      </c>
      <c r="L34" s="28" t="s">
        <v>1045</v>
      </c>
      <c r="M34" s="29">
        <v>42.1</v>
      </c>
      <c r="N34" s="48">
        <f t="shared" si="14"/>
        <v>30.775100000000002</v>
      </c>
      <c r="O34" s="48">
        <f t="shared" si="15"/>
        <v>2.3081325000000001</v>
      </c>
      <c r="P34" s="48">
        <f t="shared" si="16"/>
        <v>44693.685233025004</v>
      </c>
      <c r="Q34" s="48">
        <f t="shared" si="17"/>
        <v>44693.685233025004</v>
      </c>
      <c r="R34" s="41">
        <f t="shared" si="18"/>
        <v>63777.88882752668</v>
      </c>
    </row>
    <row r="35" spans="2:19" x14ac:dyDescent="0.2">
      <c r="B35" s="61">
        <f>IF(F35&lt;&gt;"",1+MAX($B$21:B34),"")</f>
        <v>10</v>
      </c>
      <c r="C35" s="196"/>
      <c r="D35" s="73" t="s">
        <v>877</v>
      </c>
      <c r="E35" s="14" t="s">
        <v>79</v>
      </c>
      <c r="F35" s="19">
        <v>2</v>
      </c>
      <c r="G35" s="27"/>
      <c r="H35" s="27">
        <f t="shared" si="11"/>
        <v>0</v>
      </c>
      <c r="I35" s="27">
        <f t="shared" si="12"/>
        <v>0</v>
      </c>
      <c r="J35" s="11">
        <v>1.95</v>
      </c>
      <c r="K35" s="7">
        <f t="shared" si="13"/>
        <v>3.9</v>
      </c>
      <c r="L35" s="28" t="s">
        <v>1045</v>
      </c>
      <c r="M35" s="29">
        <v>42.1</v>
      </c>
      <c r="N35" s="48">
        <f t="shared" si="14"/>
        <v>30.775100000000002</v>
      </c>
      <c r="O35" s="48">
        <f t="shared" si="15"/>
        <v>60.011445000000002</v>
      </c>
      <c r="P35" s="48">
        <f t="shared" si="16"/>
        <v>120.02289</v>
      </c>
      <c r="Q35" s="48">
        <f t="shared" si="17"/>
        <v>120.02289</v>
      </c>
      <c r="R35" s="41">
        <f t="shared" si="18"/>
        <v>171.27266403000002</v>
      </c>
    </row>
    <row r="36" spans="2:19" x14ac:dyDescent="0.2">
      <c r="B36" s="61">
        <f>IF(F36&lt;&gt;"",1+MAX($B$21:B35),"")</f>
        <v>11</v>
      </c>
      <c r="C36" s="196"/>
      <c r="D36" s="73" t="s">
        <v>878</v>
      </c>
      <c r="E36" s="14" t="s">
        <v>74</v>
      </c>
      <c r="F36" s="19">
        <v>55.6</v>
      </c>
      <c r="G36" s="27"/>
      <c r="H36" s="27">
        <f t="shared" si="11"/>
        <v>0</v>
      </c>
      <c r="I36" s="27">
        <f t="shared" si="12"/>
        <v>0</v>
      </c>
      <c r="J36" s="11">
        <v>6.5000000000000002E-2</v>
      </c>
      <c r="K36" s="7">
        <f t="shared" si="13"/>
        <v>3.6140000000000003</v>
      </c>
      <c r="L36" s="28" t="s">
        <v>1045</v>
      </c>
      <c r="M36" s="29">
        <v>42.1</v>
      </c>
      <c r="N36" s="48">
        <f t="shared" si="14"/>
        <v>30.775100000000002</v>
      </c>
      <c r="O36" s="48">
        <f t="shared" si="15"/>
        <v>2.0003815</v>
      </c>
      <c r="P36" s="48">
        <f t="shared" si="16"/>
        <v>111.2212114</v>
      </c>
      <c r="Q36" s="48">
        <f t="shared" si="17"/>
        <v>111.2212114</v>
      </c>
      <c r="R36" s="41">
        <f t="shared" si="18"/>
        <v>158.71266866780002</v>
      </c>
    </row>
    <row r="37" spans="2:19" x14ac:dyDescent="0.2">
      <c r="B37" s="61">
        <f>IF(F37&lt;&gt;"",1+MAX($B$21:B36),"")</f>
        <v>12</v>
      </c>
      <c r="C37" s="196"/>
      <c r="D37" s="73" t="s">
        <v>879</v>
      </c>
      <c r="E37" s="14" t="s">
        <v>74</v>
      </c>
      <c r="F37" s="19">
        <v>965.36</v>
      </c>
      <c r="G37" s="27"/>
      <c r="H37" s="27">
        <f t="shared" si="11"/>
        <v>0</v>
      </c>
      <c r="I37" s="27">
        <f t="shared" si="12"/>
        <v>0</v>
      </c>
      <c r="J37" s="11">
        <v>0.06</v>
      </c>
      <c r="K37" s="7">
        <f t="shared" si="13"/>
        <v>57.921599999999998</v>
      </c>
      <c r="L37" s="28" t="s">
        <v>1045</v>
      </c>
      <c r="M37" s="29">
        <v>42.1</v>
      </c>
      <c r="N37" s="48">
        <f t="shared" si="14"/>
        <v>30.775100000000002</v>
      </c>
      <c r="O37" s="48">
        <f t="shared" si="15"/>
        <v>1.846506</v>
      </c>
      <c r="P37" s="48">
        <f t="shared" si="16"/>
        <v>1782.5430321599999</v>
      </c>
      <c r="Q37" s="48">
        <f t="shared" si="17"/>
        <v>1782.5430321599999</v>
      </c>
      <c r="R37" s="41">
        <f t="shared" si="18"/>
        <v>2543.6889068923197</v>
      </c>
    </row>
    <row r="38" spans="2:19" x14ac:dyDescent="0.2">
      <c r="B38" s="61">
        <f>IF(F38&lt;&gt;"",1+MAX($B$21:B37),"")</f>
        <v>13</v>
      </c>
      <c r="C38" s="196"/>
      <c r="D38" s="73" t="s">
        <v>880</v>
      </c>
      <c r="E38" s="14" t="s">
        <v>74</v>
      </c>
      <c r="F38" s="19">
        <v>76.2</v>
      </c>
      <c r="G38" s="27"/>
      <c r="H38" s="27">
        <f t="shared" si="11"/>
        <v>0</v>
      </c>
      <c r="I38" s="27">
        <f t="shared" si="12"/>
        <v>0</v>
      </c>
      <c r="J38" s="11">
        <v>0.13500000000000001</v>
      </c>
      <c r="K38" s="7">
        <f t="shared" si="13"/>
        <v>10.287000000000001</v>
      </c>
      <c r="L38" s="28" t="s">
        <v>1045</v>
      </c>
      <c r="M38" s="29">
        <v>42.1</v>
      </c>
      <c r="N38" s="48">
        <f t="shared" si="14"/>
        <v>30.775100000000002</v>
      </c>
      <c r="O38" s="48">
        <f t="shared" si="15"/>
        <v>4.1546385000000008</v>
      </c>
      <c r="P38" s="48">
        <f t="shared" si="16"/>
        <v>316.58345370000006</v>
      </c>
      <c r="Q38" s="48">
        <f t="shared" si="17"/>
        <v>316.58345370000006</v>
      </c>
      <c r="R38" s="41">
        <f t="shared" si="18"/>
        <v>451.76458842990007</v>
      </c>
    </row>
    <row r="39" spans="2:19" ht="25.5" x14ac:dyDescent="0.2">
      <c r="B39" s="61">
        <f>IF(F39&lt;&gt;"",1+MAX($B$21:B38),"")</f>
        <v>14</v>
      </c>
      <c r="C39" s="196"/>
      <c r="D39" s="73" t="s">
        <v>881</v>
      </c>
      <c r="E39" s="14" t="s">
        <v>74</v>
      </c>
      <c r="F39" s="19">
        <v>107.11</v>
      </c>
      <c r="G39" s="27"/>
      <c r="H39" s="27">
        <f t="shared" si="11"/>
        <v>0</v>
      </c>
      <c r="I39" s="27">
        <f t="shared" si="12"/>
        <v>0</v>
      </c>
      <c r="J39" s="11">
        <v>9.5000000000000001E-2</v>
      </c>
      <c r="K39" s="7">
        <f t="shared" si="13"/>
        <v>10.17545</v>
      </c>
      <c r="L39" s="28" t="s">
        <v>1045</v>
      </c>
      <c r="M39" s="29">
        <v>42.1</v>
      </c>
      <c r="N39" s="48">
        <f t="shared" si="14"/>
        <v>30.775100000000002</v>
      </c>
      <c r="O39" s="48">
        <f t="shared" si="15"/>
        <v>2.9236345000000004</v>
      </c>
      <c r="P39" s="48">
        <f t="shared" si="16"/>
        <v>313.15049129500005</v>
      </c>
      <c r="Q39" s="48">
        <f t="shared" si="17"/>
        <v>313.15049129500005</v>
      </c>
      <c r="R39" s="41">
        <f t="shared" si="18"/>
        <v>446.86575107796511</v>
      </c>
    </row>
    <row r="40" spans="2:19" x14ac:dyDescent="0.2">
      <c r="B40" s="61">
        <f>IF(F40&lt;&gt;"",1+MAX($B$21:B39),"")</f>
        <v>15</v>
      </c>
      <c r="C40" s="197"/>
      <c r="D40" s="73" t="s">
        <v>882</v>
      </c>
      <c r="E40" s="14" t="s">
        <v>79</v>
      </c>
      <c r="F40" s="19">
        <v>2</v>
      </c>
      <c r="G40" s="27"/>
      <c r="H40" s="27">
        <f t="shared" si="11"/>
        <v>0</v>
      </c>
      <c r="I40" s="27">
        <f t="shared" si="12"/>
        <v>0</v>
      </c>
      <c r="J40" s="11">
        <v>8</v>
      </c>
      <c r="K40" s="7">
        <f t="shared" si="13"/>
        <v>16</v>
      </c>
      <c r="L40" s="28" t="s">
        <v>1045</v>
      </c>
      <c r="M40" s="29">
        <v>42.1</v>
      </c>
      <c r="N40" s="48">
        <f t="shared" si="14"/>
        <v>30.775100000000002</v>
      </c>
      <c r="O40" s="48">
        <f t="shared" si="15"/>
        <v>246.20080000000002</v>
      </c>
      <c r="P40" s="48">
        <f t="shared" si="16"/>
        <v>492.40160000000003</v>
      </c>
      <c r="Q40" s="48">
        <f t="shared" si="17"/>
        <v>492.40160000000003</v>
      </c>
      <c r="R40" s="41">
        <f t="shared" si="18"/>
        <v>702.65708319999999</v>
      </c>
    </row>
    <row r="41" spans="2:19" ht="13.5" thickBot="1" x14ac:dyDescent="0.25">
      <c r="B41" s="61" t="str">
        <f>IF(F41&lt;&gt;"",1+MAX($B$21:B40),"")</f>
        <v/>
      </c>
      <c r="C41" s="67"/>
      <c r="D41" s="73"/>
      <c r="E41" s="14"/>
      <c r="F41" s="19"/>
      <c r="G41" s="48"/>
      <c r="H41" s="48">
        <f t="shared" si="11"/>
        <v>0</v>
      </c>
      <c r="I41" s="48">
        <f t="shared" si="12"/>
        <v>0</v>
      </c>
      <c r="J41" s="49"/>
      <c r="K41" s="50">
        <f t="shared" si="13"/>
        <v>0</v>
      </c>
      <c r="L41" s="50"/>
      <c r="M41" s="48"/>
      <c r="N41" s="48">
        <f t="shared" si="14"/>
        <v>0</v>
      </c>
      <c r="O41" s="48">
        <f t="shared" si="15"/>
        <v>0</v>
      </c>
      <c r="P41" s="48">
        <f t="shared" si="16"/>
        <v>0</v>
      </c>
      <c r="Q41" s="48">
        <f t="shared" si="17"/>
        <v>0</v>
      </c>
      <c r="R41" s="41">
        <f t="shared" si="18"/>
        <v>0</v>
      </c>
      <c r="S41" s="9"/>
    </row>
    <row r="42" spans="2:19" s="9" customFormat="1" ht="26.25" thickBot="1" x14ac:dyDescent="0.25">
      <c r="B42" s="59" t="str">
        <f>IF(F42&lt;&gt;"",1+MAX($B$21:B23),"")</f>
        <v/>
      </c>
      <c r="C42" s="65" t="s">
        <v>42</v>
      </c>
      <c r="D42" s="72" t="s">
        <v>8</v>
      </c>
      <c r="E42" s="51"/>
      <c r="F42" s="51"/>
      <c r="G42" s="51"/>
      <c r="H42" s="52" t="s">
        <v>61</v>
      </c>
      <c r="I42" s="53">
        <f>SUM(I43:I74)</f>
        <v>19139.257652268443</v>
      </c>
      <c r="J42" s="54"/>
      <c r="K42" s="55" t="str">
        <f>ROUND(SUM(K43:K74),0) &amp; " " &amp; "HRS"</f>
        <v>413 HRS</v>
      </c>
      <c r="L42" s="56"/>
      <c r="M42" s="56"/>
      <c r="N42" s="56"/>
      <c r="O42" s="52" t="s">
        <v>62</v>
      </c>
      <c r="P42" s="53">
        <f>SUM(P43:P74)</f>
        <v>15358.706144848118</v>
      </c>
      <c r="Q42" s="57">
        <f>SUM(Q43:Q74)</f>
        <v>34497.963797116558</v>
      </c>
      <c r="R42" s="58">
        <f>(Q42)+(I42*$Q$7)+(P42*$Q$8)+(Q42*$Q$9)+($Q$10*((Q42)+(I42*$Q$7)+(P42*$Q$8)+(Q42*$Q$9)))+(Q42*$Q$11)</f>
        <v>48642.933054325913</v>
      </c>
    </row>
    <row r="43" spans="2:19" x14ac:dyDescent="0.2">
      <c r="B43" s="61" t="str">
        <f>IF(F43&lt;&gt;"",1+MAX($B$21:B42),"")</f>
        <v/>
      </c>
      <c r="C43" s="67"/>
      <c r="D43" s="73"/>
      <c r="E43" s="14"/>
      <c r="F43" s="19"/>
      <c r="G43" s="48"/>
      <c r="H43" s="48">
        <f t="shared" ref="H43:H74" si="19">G43*$T$2</f>
        <v>0</v>
      </c>
      <c r="I43" s="48">
        <f t="shared" ref="I43:I74" si="20">F43*H43</f>
        <v>0</v>
      </c>
      <c r="J43" s="49"/>
      <c r="K43" s="50">
        <f t="shared" ref="K43:K74" si="21">F43*J43</f>
        <v>0</v>
      </c>
      <c r="L43" s="50"/>
      <c r="M43" s="48"/>
      <c r="N43" s="48">
        <f t="shared" ref="N43:N74" si="22">M43*$U$2</f>
        <v>0</v>
      </c>
      <c r="O43" s="48">
        <f t="shared" ref="O43:O74" si="23">J43*N43</f>
        <v>0</v>
      </c>
      <c r="P43" s="48">
        <f t="shared" ref="P43:P74" si="24">F43*O43</f>
        <v>0</v>
      </c>
      <c r="Q43" s="48">
        <f t="shared" ref="Q43:Q74" si="25">I43+P43</f>
        <v>0</v>
      </c>
      <c r="R43" s="41">
        <f t="shared" ref="R43:R74" si="26">Q43+(I43*$Q$7)+(P43*$Q$8)+(Q43*$Q$9)+(Q43*$Q$11)+($Q$10*(Q43+(I43*$Q$7)+(P43*$Q$8)+(Q43*$Q$9)))</f>
        <v>0</v>
      </c>
      <c r="S43" s="9"/>
    </row>
    <row r="44" spans="2:19" x14ac:dyDescent="0.2">
      <c r="B44" s="62" t="str">
        <f>IF(F44&lt;&gt;"",1+MAX($B$21:B43),"")</f>
        <v/>
      </c>
      <c r="C44" s="68"/>
      <c r="D44" s="74" t="s">
        <v>122</v>
      </c>
      <c r="E44" s="14"/>
      <c r="F44" s="19"/>
      <c r="G44" s="48"/>
      <c r="H44" s="48">
        <f t="shared" si="19"/>
        <v>0</v>
      </c>
      <c r="I44" s="48">
        <f t="shared" si="20"/>
        <v>0</v>
      </c>
      <c r="J44" s="49"/>
      <c r="K44" s="50">
        <f t="shared" si="21"/>
        <v>0</v>
      </c>
      <c r="L44" s="50"/>
      <c r="M44" s="48"/>
      <c r="N44" s="48">
        <f t="shared" si="22"/>
        <v>0</v>
      </c>
      <c r="O44" s="48">
        <f t="shared" si="23"/>
        <v>0</v>
      </c>
      <c r="P44" s="48">
        <f t="shared" si="24"/>
        <v>0</v>
      </c>
      <c r="Q44" s="48">
        <f t="shared" si="25"/>
        <v>0</v>
      </c>
      <c r="R44" s="41">
        <f t="shared" si="26"/>
        <v>0</v>
      </c>
    </row>
    <row r="45" spans="2:19" ht="25.5" x14ac:dyDescent="0.2">
      <c r="B45" s="61">
        <f>IF(F45&lt;&gt;"",1+MAX($B$21:B44),"")</f>
        <v>16</v>
      </c>
      <c r="C45" s="198" t="s">
        <v>237</v>
      </c>
      <c r="D45" s="73" t="s">
        <v>219</v>
      </c>
      <c r="E45" s="14" t="s">
        <v>72</v>
      </c>
      <c r="F45" s="19">
        <v>1917.6</v>
      </c>
      <c r="G45" s="12">
        <v>2.59</v>
      </c>
      <c r="H45" s="12">
        <f t="shared" si="19"/>
        <v>2.4656799999999999</v>
      </c>
      <c r="I45" s="12">
        <f t="shared" si="20"/>
        <v>4728.1879679999993</v>
      </c>
      <c r="J45" s="11">
        <v>7.2999999999999995E-2</v>
      </c>
      <c r="K45" s="7">
        <f t="shared" si="21"/>
        <v>139.98479999999998</v>
      </c>
      <c r="L45" s="28" t="s">
        <v>1047</v>
      </c>
      <c r="M45" s="29">
        <v>47.35</v>
      </c>
      <c r="N45" s="48">
        <f t="shared" si="22"/>
        <v>34.612850000000002</v>
      </c>
      <c r="O45" s="48">
        <f t="shared" si="23"/>
        <v>2.5267380500000001</v>
      </c>
      <c r="P45" s="48">
        <f t="shared" si="24"/>
        <v>4845.2728846800001</v>
      </c>
      <c r="Q45" s="48">
        <f t="shared" si="25"/>
        <v>9573.4608526800002</v>
      </c>
      <c r="R45" s="41">
        <f t="shared" si="26"/>
        <v>13516.64608495356</v>
      </c>
    </row>
    <row r="46" spans="2:19" x14ac:dyDescent="0.2">
      <c r="B46" s="61" t="str">
        <f>IF(F46&lt;&gt;"",1+MAX($B$21:B45),"")</f>
        <v/>
      </c>
      <c r="C46" s="196"/>
      <c r="D46" s="73"/>
      <c r="E46" s="14"/>
      <c r="F46" s="19"/>
      <c r="G46" s="48"/>
      <c r="H46" s="48">
        <f t="shared" si="19"/>
        <v>0</v>
      </c>
      <c r="I46" s="48">
        <f t="shared" si="20"/>
        <v>0</v>
      </c>
      <c r="J46" s="49"/>
      <c r="K46" s="50">
        <f t="shared" si="21"/>
        <v>0</v>
      </c>
      <c r="L46" s="50"/>
      <c r="M46" s="48"/>
      <c r="N46" s="48">
        <f t="shared" si="22"/>
        <v>0</v>
      </c>
      <c r="O46" s="48">
        <f t="shared" si="23"/>
        <v>0</v>
      </c>
      <c r="P46" s="48">
        <f t="shared" si="24"/>
        <v>0</v>
      </c>
      <c r="Q46" s="48">
        <f t="shared" si="25"/>
        <v>0</v>
      </c>
      <c r="R46" s="41">
        <f t="shared" si="26"/>
        <v>0</v>
      </c>
    </row>
    <row r="47" spans="2:19" x14ac:dyDescent="0.2">
      <c r="B47" s="61" t="str">
        <f>IF(F47&lt;&gt;"",1+MAX($B$21:B46),"")</f>
        <v/>
      </c>
      <c r="C47" s="196"/>
      <c r="D47" s="75" t="s">
        <v>221</v>
      </c>
      <c r="E47" s="14"/>
      <c r="F47" s="19"/>
      <c r="G47" s="48"/>
      <c r="H47" s="48">
        <f t="shared" si="19"/>
        <v>0</v>
      </c>
      <c r="I47" s="48">
        <f t="shared" si="20"/>
        <v>0</v>
      </c>
      <c r="J47" s="49"/>
      <c r="K47" s="50">
        <f t="shared" si="21"/>
        <v>0</v>
      </c>
      <c r="L47" s="50"/>
      <c r="M47" s="48"/>
      <c r="N47" s="48">
        <f t="shared" si="22"/>
        <v>0</v>
      </c>
      <c r="O47" s="48">
        <f t="shared" si="23"/>
        <v>0</v>
      </c>
      <c r="P47" s="48">
        <f t="shared" si="24"/>
        <v>0</v>
      </c>
      <c r="Q47" s="48">
        <f t="shared" si="25"/>
        <v>0</v>
      </c>
      <c r="R47" s="41">
        <f t="shared" si="26"/>
        <v>0</v>
      </c>
    </row>
    <row r="48" spans="2:19" x14ac:dyDescent="0.2">
      <c r="B48" s="61">
        <f>IF(F48&lt;&gt;"",1+MAX($B$21:B47),"")</f>
        <v>17</v>
      </c>
      <c r="C48" s="196"/>
      <c r="D48" s="73" t="s">
        <v>222</v>
      </c>
      <c r="E48" s="14" t="s">
        <v>74</v>
      </c>
      <c r="F48" s="19">
        <v>39.22</v>
      </c>
      <c r="G48" s="48">
        <v>1.29</v>
      </c>
      <c r="H48" s="48">
        <f t="shared" si="19"/>
        <v>1.2280800000000001</v>
      </c>
      <c r="I48" s="48">
        <f t="shared" si="20"/>
        <v>48.165297600000002</v>
      </c>
      <c r="J48" s="49">
        <v>2.4E-2</v>
      </c>
      <c r="K48" s="50">
        <f t="shared" si="21"/>
        <v>0.94128000000000001</v>
      </c>
      <c r="L48" s="50" t="s">
        <v>1048</v>
      </c>
      <c r="M48" s="48">
        <v>53.15</v>
      </c>
      <c r="N48" s="48">
        <f t="shared" si="22"/>
        <v>38.852649999999997</v>
      </c>
      <c r="O48" s="48">
        <f t="shared" si="23"/>
        <v>0.93246359999999995</v>
      </c>
      <c r="P48" s="48">
        <f t="shared" si="24"/>
        <v>36.571222391999996</v>
      </c>
      <c r="Q48" s="48">
        <f t="shared" si="25"/>
        <v>84.736519991999998</v>
      </c>
      <c r="R48" s="41">
        <f t="shared" si="26"/>
        <v>119.44515592202401</v>
      </c>
    </row>
    <row r="49" spans="2:18" x14ac:dyDescent="0.2">
      <c r="B49" s="61">
        <f>IF(F49&lt;&gt;"",1+MAX($B$21:B48),"")</f>
        <v>18</v>
      </c>
      <c r="C49" s="197"/>
      <c r="D49" s="73" t="s">
        <v>225</v>
      </c>
      <c r="E49" s="14" t="s">
        <v>74</v>
      </c>
      <c r="F49" s="19">
        <v>364.11</v>
      </c>
      <c r="G49" s="48">
        <v>1.59</v>
      </c>
      <c r="H49" s="48">
        <f t="shared" si="19"/>
        <v>1.5136799999999999</v>
      </c>
      <c r="I49" s="48">
        <f t="shared" si="20"/>
        <v>551.14602479999996</v>
      </c>
      <c r="J49" s="49">
        <v>2.4E-2</v>
      </c>
      <c r="K49" s="50">
        <f t="shared" si="21"/>
        <v>8.7386400000000002</v>
      </c>
      <c r="L49" s="50" t="s">
        <v>1048</v>
      </c>
      <c r="M49" s="48">
        <v>53.15</v>
      </c>
      <c r="N49" s="48">
        <f t="shared" si="22"/>
        <v>38.852649999999997</v>
      </c>
      <c r="O49" s="48">
        <f t="shared" si="23"/>
        <v>0.93246359999999995</v>
      </c>
      <c r="P49" s="48">
        <f t="shared" si="24"/>
        <v>339.51932139600001</v>
      </c>
      <c r="Q49" s="48">
        <f t="shared" si="25"/>
        <v>890.66534619599997</v>
      </c>
      <c r="R49" s="41">
        <f t="shared" si="26"/>
        <v>1254.1143806628122</v>
      </c>
    </row>
    <row r="50" spans="2:18" x14ac:dyDescent="0.2">
      <c r="B50" s="61" t="str">
        <f>IF(F50&lt;&gt;"",1+MAX($B$21:B49),"")</f>
        <v/>
      </c>
      <c r="C50" s="67"/>
      <c r="D50" s="73"/>
      <c r="E50" s="14"/>
      <c r="F50" s="19"/>
      <c r="G50" s="48"/>
      <c r="H50" s="48">
        <f t="shared" si="19"/>
        <v>0</v>
      </c>
      <c r="I50" s="48">
        <f t="shared" si="20"/>
        <v>0</v>
      </c>
      <c r="J50" s="49"/>
      <c r="K50" s="50">
        <f t="shared" si="21"/>
        <v>0</v>
      </c>
      <c r="L50" s="50"/>
      <c r="M50" s="48"/>
      <c r="N50" s="48">
        <f t="shared" si="22"/>
        <v>0</v>
      </c>
      <c r="O50" s="48">
        <f t="shared" si="23"/>
        <v>0</v>
      </c>
      <c r="P50" s="48">
        <f t="shared" si="24"/>
        <v>0</v>
      </c>
      <c r="Q50" s="48">
        <f t="shared" si="25"/>
        <v>0</v>
      </c>
      <c r="R50" s="41">
        <f t="shared" si="26"/>
        <v>0</v>
      </c>
    </row>
    <row r="51" spans="2:18" x14ac:dyDescent="0.2">
      <c r="B51" s="62" t="str">
        <f>IF(F51&lt;&gt;"",1+MAX($B$21:B50),"")</f>
        <v/>
      </c>
      <c r="C51" s="68"/>
      <c r="D51" s="74" t="s">
        <v>119</v>
      </c>
      <c r="E51" s="14"/>
      <c r="F51" s="19"/>
      <c r="G51" s="48"/>
      <c r="H51" s="48">
        <f t="shared" si="19"/>
        <v>0</v>
      </c>
      <c r="I51" s="48">
        <f t="shared" si="20"/>
        <v>0</v>
      </c>
      <c r="J51" s="49"/>
      <c r="K51" s="50">
        <f t="shared" si="21"/>
        <v>0</v>
      </c>
      <c r="L51" s="50"/>
      <c r="M51" s="48"/>
      <c r="N51" s="48">
        <f t="shared" si="22"/>
        <v>0</v>
      </c>
      <c r="O51" s="48">
        <f t="shared" si="23"/>
        <v>0</v>
      </c>
      <c r="P51" s="48">
        <f t="shared" si="24"/>
        <v>0</v>
      </c>
      <c r="Q51" s="48">
        <f t="shared" si="25"/>
        <v>0</v>
      </c>
      <c r="R51" s="41">
        <f t="shared" si="26"/>
        <v>0</v>
      </c>
    </row>
    <row r="52" spans="2:18" x14ac:dyDescent="0.2">
      <c r="B52" s="61" t="str">
        <f>IF(F52&lt;&gt;"",1+MAX($B$21:B51),"")</f>
        <v/>
      </c>
      <c r="C52" s="67"/>
      <c r="D52" s="73"/>
      <c r="E52" s="14"/>
      <c r="F52" s="19"/>
      <c r="G52" s="48"/>
      <c r="H52" s="48">
        <f t="shared" si="19"/>
        <v>0</v>
      </c>
      <c r="I52" s="48">
        <f t="shared" si="20"/>
        <v>0</v>
      </c>
      <c r="J52" s="49"/>
      <c r="K52" s="50">
        <f t="shared" si="21"/>
        <v>0</v>
      </c>
      <c r="L52" s="50"/>
      <c r="M52" s="48"/>
      <c r="N52" s="48">
        <f t="shared" si="22"/>
        <v>0</v>
      </c>
      <c r="O52" s="48">
        <f t="shared" si="23"/>
        <v>0</v>
      </c>
      <c r="P52" s="48">
        <f t="shared" si="24"/>
        <v>0</v>
      </c>
      <c r="Q52" s="48">
        <f t="shared" si="25"/>
        <v>0</v>
      </c>
      <c r="R52" s="41">
        <f t="shared" si="26"/>
        <v>0</v>
      </c>
    </row>
    <row r="53" spans="2:18" x14ac:dyDescent="0.2">
      <c r="B53" s="61" t="str">
        <f>IF(F53&lt;&gt;"",1+MAX($B$21:B52),"")</f>
        <v/>
      </c>
      <c r="C53" s="198" t="s">
        <v>237</v>
      </c>
      <c r="D53" s="75" t="s">
        <v>223</v>
      </c>
      <c r="E53" s="14"/>
      <c r="F53" s="19"/>
      <c r="G53" s="48"/>
      <c r="H53" s="48">
        <f t="shared" si="19"/>
        <v>0</v>
      </c>
      <c r="I53" s="48">
        <f t="shared" si="20"/>
        <v>0</v>
      </c>
      <c r="J53" s="49"/>
      <c r="K53" s="50">
        <f t="shared" si="21"/>
        <v>0</v>
      </c>
      <c r="L53" s="50"/>
      <c r="M53" s="48"/>
      <c r="N53" s="48">
        <f t="shared" si="22"/>
        <v>0</v>
      </c>
      <c r="O53" s="48">
        <f t="shared" si="23"/>
        <v>0</v>
      </c>
      <c r="P53" s="48">
        <f t="shared" si="24"/>
        <v>0</v>
      </c>
      <c r="Q53" s="48">
        <f t="shared" si="25"/>
        <v>0</v>
      </c>
      <c r="R53" s="41">
        <f t="shared" si="26"/>
        <v>0</v>
      </c>
    </row>
    <row r="54" spans="2:18" x14ac:dyDescent="0.2">
      <c r="B54" s="61">
        <f>IF(F54&lt;&gt;"",1+MAX($B$21:B53),"")</f>
        <v>19</v>
      </c>
      <c r="C54" s="196"/>
      <c r="D54" s="73" t="s">
        <v>226</v>
      </c>
      <c r="E54" s="14" t="s">
        <v>73</v>
      </c>
      <c r="F54" s="23">
        <f>124.15*2*1/27</f>
        <v>9.1962962962962962</v>
      </c>
      <c r="G54" s="12">
        <v>310</v>
      </c>
      <c r="H54" s="12">
        <f t="shared" si="19"/>
        <v>295.12</v>
      </c>
      <c r="I54" s="12">
        <f t="shared" si="20"/>
        <v>2714.0109629629628</v>
      </c>
      <c r="J54" s="11">
        <v>5.73</v>
      </c>
      <c r="K54" s="7">
        <f t="shared" si="21"/>
        <v>52.69477777777778</v>
      </c>
      <c r="L54" s="28" t="s">
        <v>1049</v>
      </c>
      <c r="M54" s="29">
        <v>50.61</v>
      </c>
      <c r="N54" s="48">
        <f t="shared" si="22"/>
        <v>36.995910000000002</v>
      </c>
      <c r="O54" s="48">
        <f t="shared" si="23"/>
        <v>211.98656430000003</v>
      </c>
      <c r="P54" s="48">
        <f t="shared" si="24"/>
        <v>1949.4912561366668</v>
      </c>
      <c r="Q54" s="48">
        <f t="shared" si="25"/>
        <v>4663.5022190996297</v>
      </c>
      <c r="R54" s="41">
        <f t="shared" si="26"/>
        <v>6571.7689311885042</v>
      </c>
    </row>
    <row r="55" spans="2:18" x14ac:dyDescent="0.2">
      <c r="B55" s="61" t="str">
        <f>IF(F55&lt;&gt;"",1+MAX($B$21:B54),"")</f>
        <v/>
      </c>
      <c r="C55" s="196"/>
      <c r="D55" s="73"/>
      <c r="E55" s="14"/>
      <c r="F55" s="19"/>
      <c r="G55" s="48"/>
      <c r="H55" s="48">
        <f t="shared" si="19"/>
        <v>0</v>
      </c>
      <c r="I55" s="48">
        <f t="shared" si="20"/>
        <v>0</v>
      </c>
      <c r="J55" s="49"/>
      <c r="K55" s="50">
        <f t="shared" si="21"/>
        <v>0</v>
      </c>
      <c r="L55" s="50"/>
      <c r="M55" s="48"/>
      <c r="N55" s="48">
        <f t="shared" si="22"/>
        <v>0</v>
      </c>
      <c r="O55" s="48">
        <f t="shared" si="23"/>
        <v>0</v>
      </c>
      <c r="P55" s="48">
        <f t="shared" si="24"/>
        <v>0</v>
      </c>
      <c r="Q55" s="48">
        <f t="shared" si="25"/>
        <v>0</v>
      </c>
      <c r="R55" s="41">
        <f t="shared" si="26"/>
        <v>0</v>
      </c>
    </row>
    <row r="56" spans="2:18" x14ac:dyDescent="0.2">
      <c r="B56" s="61" t="str">
        <f>IF(F56&lt;&gt;"",1+MAX($B$21:B55),"")</f>
        <v/>
      </c>
      <c r="C56" s="196"/>
      <c r="D56" s="75" t="s">
        <v>224</v>
      </c>
      <c r="E56" s="14"/>
      <c r="F56" s="19"/>
      <c r="G56" s="48"/>
      <c r="H56" s="48">
        <f t="shared" si="19"/>
        <v>0</v>
      </c>
      <c r="I56" s="48">
        <f t="shared" si="20"/>
        <v>0</v>
      </c>
      <c r="J56" s="49"/>
      <c r="K56" s="50">
        <f t="shared" si="21"/>
        <v>0</v>
      </c>
      <c r="L56" s="50"/>
      <c r="M56" s="48"/>
      <c r="N56" s="48">
        <f t="shared" si="22"/>
        <v>0</v>
      </c>
      <c r="O56" s="48">
        <f t="shared" si="23"/>
        <v>0</v>
      </c>
      <c r="P56" s="48">
        <f t="shared" si="24"/>
        <v>0</v>
      </c>
      <c r="Q56" s="48">
        <f t="shared" si="25"/>
        <v>0</v>
      </c>
      <c r="R56" s="41">
        <f t="shared" si="26"/>
        <v>0</v>
      </c>
    </row>
    <row r="57" spans="2:18" x14ac:dyDescent="0.2">
      <c r="B57" s="61">
        <f>IF(F57&lt;&gt;"",1+MAX($B$21:B56),"")</f>
        <v>20</v>
      </c>
      <c r="C57" s="196"/>
      <c r="D57" s="73" t="s">
        <v>227</v>
      </c>
      <c r="E57" s="14" t="s">
        <v>73</v>
      </c>
      <c r="F57" s="23">
        <f>3*3*1*3/27</f>
        <v>1</v>
      </c>
      <c r="G57" s="12">
        <v>304.22000000000003</v>
      </c>
      <c r="H57" s="12">
        <f t="shared" si="19"/>
        <v>289.61743999999999</v>
      </c>
      <c r="I57" s="12">
        <f t="shared" si="20"/>
        <v>289.61743999999999</v>
      </c>
      <c r="J57" s="11">
        <v>6.415</v>
      </c>
      <c r="K57" s="7">
        <f t="shared" si="21"/>
        <v>6.415</v>
      </c>
      <c r="L57" s="28" t="s">
        <v>1050</v>
      </c>
      <c r="M57" s="29">
        <v>52.21</v>
      </c>
      <c r="N57" s="48">
        <f t="shared" si="22"/>
        <v>38.165509999999998</v>
      </c>
      <c r="O57" s="48">
        <f t="shared" si="23"/>
        <v>244.83174664999999</v>
      </c>
      <c r="P57" s="48">
        <f t="shared" si="24"/>
        <v>244.83174664999999</v>
      </c>
      <c r="Q57" s="48">
        <f t="shared" si="25"/>
        <v>534.44918665</v>
      </c>
      <c r="R57" s="41">
        <f t="shared" si="26"/>
        <v>753.79669568555005</v>
      </c>
    </row>
    <row r="58" spans="2:18" x14ac:dyDescent="0.2">
      <c r="B58" s="61">
        <f>IF(F58&lt;&gt;"",1+MAX($B$21:B57),"")</f>
        <v>21</v>
      </c>
      <c r="C58" s="196"/>
      <c r="D58" s="73" t="s">
        <v>228</v>
      </c>
      <c r="E58" s="14" t="s">
        <v>73</v>
      </c>
      <c r="F58" s="23">
        <f>3.67*3.67*1*3/27</f>
        <v>1.4965444444444445</v>
      </c>
      <c r="G58" s="12">
        <v>304.22000000000003</v>
      </c>
      <c r="H58" s="12">
        <f t="shared" si="19"/>
        <v>289.61743999999999</v>
      </c>
      <c r="I58" s="12">
        <f t="shared" si="20"/>
        <v>433.42537084622222</v>
      </c>
      <c r="J58" s="11">
        <v>6.415</v>
      </c>
      <c r="K58" s="7">
        <f t="shared" si="21"/>
        <v>9.6003326111111118</v>
      </c>
      <c r="L58" s="28" t="s">
        <v>1050</v>
      </c>
      <c r="M58" s="29">
        <v>52.21</v>
      </c>
      <c r="N58" s="48">
        <f t="shared" si="22"/>
        <v>38.165509999999998</v>
      </c>
      <c r="O58" s="48">
        <f t="shared" si="23"/>
        <v>244.83174664999999</v>
      </c>
      <c r="P58" s="48">
        <f t="shared" si="24"/>
        <v>366.4015902726872</v>
      </c>
      <c r="Q58" s="48">
        <f t="shared" si="25"/>
        <v>799.82696111890937</v>
      </c>
      <c r="R58" s="41">
        <f t="shared" si="26"/>
        <v>1128.0902571687895</v>
      </c>
    </row>
    <row r="59" spans="2:18" x14ac:dyDescent="0.2">
      <c r="B59" s="61">
        <f>IF(F59&lt;&gt;"",1+MAX($B$21:B58),"")</f>
        <v>22</v>
      </c>
      <c r="C59" s="196"/>
      <c r="D59" s="73" t="s">
        <v>231</v>
      </c>
      <c r="E59" s="14" t="s">
        <v>73</v>
      </c>
      <c r="F59" s="23">
        <f>5*5*1.17*6/27</f>
        <v>6.5</v>
      </c>
      <c r="G59" s="12">
        <v>304.22000000000003</v>
      </c>
      <c r="H59" s="12">
        <f t="shared" si="19"/>
        <v>289.61743999999999</v>
      </c>
      <c r="I59" s="12">
        <f t="shared" si="20"/>
        <v>1882.5133599999999</v>
      </c>
      <c r="J59" s="11">
        <v>6.415</v>
      </c>
      <c r="K59" s="7">
        <f t="shared" si="21"/>
        <v>41.697499999999998</v>
      </c>
      <c r="L59" s="28" t="s">
        <v>1050</v>
      </c>
      <c r="M59" s="29">
        <v>52.21</v>
      </c>
      <c r="N59" s="48">
        <f t="shared" si="22"/>
        <v>38.165509999999998</v>
      </c>
      <c r="O59" s="48">
        <f t="shared" si="23"/>
        <v>244.83174664999999</v>
      </c>
      <c r="P59" s="48">
        <f t="shared" si="24"/>
        <v>1591.406353225</v>
      </c>
      <c r="Q59" s="48">
        <f t="shared" si="25"/>
        <v>3473.9197132250001</v>
      </c>
      <c r="R59" s="41">
        <f t="shared" si="26"/>
        <v>4899.6785219560752</v>
      </c>
    </row>
    <row r="60" spans="2:18" x14ac:dyDescent="0.2">
      <c r="B60" s="61">
        <f>IF(F60&lt;&gt;"",1+MAX($B$21:B59),"")</f>
        <v>23</v>
      </c>
      <c r="C60" s="196"/>
      <c r="D60" s="73" t="s">
        <v>230</v>
      </c>
      <c r="E60" s="14" t="s">
        <v>73</v>
      </c>
      <c r="F60" s="23">
        <f>6*6*1.33*1/27</f>
        <v>1.7733333333333334</v>
      </c>
      <c r="G60" s="12">
        <v>304.22000000000003</v>
      </c>
      <c r="H60" s="12">
        <f t="shared" si="19"/>
        <v>289.61743999999999</v>
      </c>
      <c r="I60" s="12">
        <f t="shared" si="20"/>
        <v>513.58826026666668</v>
      </c>
      <c r="J60" s="11">
        <v>6.415</v>
      </c>
      <c r="K60" s="7">
        <f t="shared" si="21"/>
        <v>11.375933333333334</v>
      </c>
      <c r="L60" s="28" t="s">
        <v>1050</v>
      </c>
      <c r="M60" s="29">
        <v>52.21</v>
      </c>
      <c r="N60" s="48">
        <f t="shared" si="22"/>
        <v>38.165509999999998</v>
      </c>
      <c r="O60" s="48">
        <f t="shared" si="23"/>
        <v>244.83174664999999</v>
      </c>
      <c r="P60" s="48">
        <f t="shared" si="24"/>
        <v>434.16829739266666</v>
      </c>
      <c r="Q60" s="48">
        <f t="shared" si="25"/>
        <v>947.75655765933334</v>
      </c>
      <c r="R60" s="41">
        <f t="shared" si="26"/>
        <v>1336.7328070157084</v>
      </c>
    </row>
    <row r="61" spans="2:18" x14ac:dyDescent="0.2">
      <c r="B61" s="61">
        <f>IF(F61&lt;&gt;"",1+MAX($B$21:B60),"")</f>
        <v>24</v>
      </c>
      <c r="C61" s="196"/>
      <c r="D61" s="73" t="s">
        <v>229</v>
      </c>
      <c r="E61" s="14" t="s">
        <v>73</v>
      </c>
      <c r="F61" s="23">
        <f>7*7*1.33*1/27</f>
        <v>2.4137037037037037</v>
      </c>
      <c r="G61" s="12">
        <v>304.22000000000003</v>
      </c>
      <c r="H61" s="12">
        <f t="shared" si="19"/>
        <v>289.61743999999999</v>
      </c>
      <c r="I61" s="12">
        <f t="shared" si="20"/>
        <v>699.05068758518519</v>
      </c>
      <c r="J61" s="11">
        <v>6.415</v>
      </c>
      <c r="K61" s="7">
        <f t="shared" si="21"/>
        <v>15.48390925925926</v>
      </c>
      <c r="L61" s="28" t="s">
        <v>1050</v>
      </c>
      <c r="M61" s="29">
        <v>52.21</v>
      </c>
      <c r="N61" s="48">
        <f t="shared" si="22"/>
        <v>38.165509999999998</v>
      </c>
      <c r="O61" s="48">
        <f t="shared" si="23"/>
        <v>244.83174664999999</v>
      </c>
      <c r="P61" s="48">
        <f t="shared" si="24"/>
        <v>590.95129367335176</v>
      </c>
      <c r="Q61" s="48">
        <f t="shared" si="25"/>
        <v>1290.0019812585369</v>
      </c>
      <c r="R61" s="41">
        <f t="shared" si="26"/>
        <v>1819.4418762158255</v>
      </c>
    </row>
    <row r="62" spans="2:18" ht="25.5" x14ac:dyDescent="0.2">
      <c r="B62" s="61">
        <f>IF(F62&lt;&gt;"",1+MAX($B$21:B61),"")</f>
        <v>25</v>
      </c>
      <c r="C62" s="196"/>
      <c r="D62" s="73" t="s">
        <v>232</v>
      </c>
      <c r="E62" s="14" t="s">
        <v>73</v>
      </c>
      <c r="F62" s="23">
        <f>7*4*1.33*1/27</f>
        <v>1.3792592592592594</v>
      </c>
      <c r="G62" s="12">
        <v>304.22000000000003</v>
      </c>
      <c r="H62" s="12">
        <f t="shared" si="19"/>
        <v>289.61743999999999</v>
      </c>
      <c r="I62" s="12">
        <f t="shared" si="20"/>
        <v>399.457535762963</v>
      </c>
      <c r="J62" s="11">
        <v>6.415</v>
      </c>
      <c r="K62" s="7">
        <f t="shared" si="21"/>
        <v>8.8479481481481486</v>
      </c>
      <c r="L62" s="28" t="s">
        <v>1050</v>
      </c>
      <c r="M62" s="29">
        <v>52.21</v>
      </c>
      <c r="N62" s="48">
        <f t="shared" si="22"/>
        <v>38.165509999999998</v>
      </c>
      <c r="O62" s="48">
        <f t="shared" si="23"/>
        <v>244.83174664999999</v>
      </c>
      <c r="P62" s="48">
        <f t="shared" si="24"/>
        <v>337.68645352762962</v>
      </c>
      <c r="Q62" s="48">
        <f t="shared" si="25"/>
        <v>737.14398929059257</v>
      </c>
      <c r="R62" s="41">
        <f t="shared" si="26"/>
        <v>1039.6810721233289</v>
      </c>
    </row>
    <row r="63" spans="2:18" ht="25.5" x14ac:dyDescent="0.2">
      <c r="B63" s="61">
        <f>IF(F63&lt;&gt;"",1+MAX($B$21:B62),"")</f>
        <v>26</v>
      </c>
      <c r="C63" s="197"/>
      <c r="D63" s="73" t="s">
        <v>233</v>
      </c>
      <c r="E63" s="14" t="s">
        <v>73</v>
      </c>
      <c r="F63" s="23">
        <f>5*10*1.17*1/27</f>
        <v>2.1666666666666665</v>
      </c>
      <c r="G63" s="12">
        <v>304.22000000000003</v>
      </c>
      <c r="H63" s="12">
        <f t="shared" si="19"/>
        <v>289.61743999999999</v>
      </c>
      <c r="I63" s="12">
        <f t="shared" si="20"/>
        <v>627.50445333333323</v>
      </c>
      <c r="J63" s="11">
        <v>6.415</v>
      </c>
      <c r="K63" s="7">
        <f t="shared" si="21"/>
        <v>13.899166666666666</v>
      </c>
      <c r="L63" s="28" t="s">
        <v>1050</v>
      </c>
      <c r="M63" s="29">
        <v>52.21</v>
      </c>
      <c r="N63" s="48">
        <f t="shared" si="22"/>
        <v>38.165509999999998</v>
      </c>
      <c r="O63" s="48">
        <f t="shared" si="23"/>
        <v>244.83174664999999</v>
      </c>
      <c r="P63" s="48">
        <f t="shared" si="24"/>
        <v>530.46878440833325</v>
      </c>
      <c r="Q63" s="48">
        <f t="shared" si="25"/>
        <v>1157.9732377416665</v>
      </c>
      <c r="R63" s="41">
        <f t="shared" si="26"/>
        <v>1633.2261739853582</v>
      </c>
    </row>
    <row r="64" spans="2:18" s="9" customFormat="1" x14ac:dyDescent="0.2">
      <c r="B64" s="61" t="str">
        <f>IF(F64&lt;&gt;"",1+MAX($B$21:B63),"")</f>
        <v/>
      </c>
      <c r="C64" s="67"/>
      <c r="D64" s="73"/>
      <c r="E64" s="14"/>
      <c r="F64" s="23"/>
      <c r="G64" s="48"/>
      <c r="H64" s="48">
        <f t="shared" si="19"/>
        <v>0</v>
      </c>
      <c r="I64" s="48">
        <f t="shared" si="20"/>
        <v>0</v>
      </c>
      <c r="J64" s="49"/>
      <c r="K64" s="50">
        <f t="shared" si="21"/>
        <v>0</v>
      </c>
      <c r="L64" s="50"/>
      <c r="M64" s="48"/>
      <c r="N64" s="48">
        <f t="shared" si="22"/>
        <v>0</v>
      </c>
      <c r="O64" s="48">
        <f t="shared" si="23"/>
        <v>0</v>
      </c>
      <c r="P64" s="48">
        <f t="shared" si="24"/>
        <v>0</v>
      </c>
      <c r="Q64" s="48">
        <f t="shared" si="25"/>
        <v>0</v>
      </c>
      <c r="R64" s="41">
        <f t="shared" si="26"/>
        <v>0</v>
      </c>
    </row>
    <row r="65" spans="2:19" x14ac:dyDescent="0.2">
      <c r="B65" s="62" t="str">
        <f>IF(F65&lt;&gt;"",1+MAX($B$21:B64),"")</f>
        <v/>
      </c>
      <c r="C65" s="68"/>
      <c r="D65" s="74" t="s">
        <v>234</v>
      </c>
      <c r="E65" s="14"/>
      <c r="F65" s="23"/>
      <c r="G65" s="48"/>
      <c r="H65" s="48">
        <f t="shared" si="19"/>
        <v>0</v>
      </c>
      <c r="I65" s="48">
        <f t="shared" si="20"/>
        <v>0</v>
      </c>
      <c r="J65" s="49"/>
      <c r="K65" s="50">
        <f t="shared" si="21"/>
        <v>0</v>
      </c>
      <c r="L65" s="50"/>
      <c r="M65" s="48"/>
      <c r="N65" s="48">
        <f t="shared" si="22"/>
        <v>0</v>
      </c>
      <c r="O65" s="48">
        <f t="shared" si="23"/>
        <v>0</v>
      </c>
      <c r="P65" s="48">
        <f t="shared" si="24"/>
        <v>0</v>
      </c>
      <c r="Q65" s="48">
        <f t="shared" si="25"/>
        <v>0</v>
      </c>
      <c r="R65" s="41">
        <f t="shared" si="26"/>
        <v>0</v>
      </c>
    </row>
    <row r="66" spans="2:19" ht="25.5" x14ac:dyDescent="0.2">
      <c r="B66" s="61">
        <f>IF(F66&lt;&gt;"",1+MAX($B$21:B65),"")</f>
        <v>27</v>
      </c>
      <c r="C66" s="198" t="s">
        <v>237</v>
      </c>
      <c r="D66" s="73" t="s">
        <v>238</v>
      </c>
      <c r="E66" s="14" t="s">
        <v>73</v>
      </c>
      <c r="F66" s="23">
        <f>194*2*0.67/27</f>
        <v>9.6281481481481492</v>
      </c>
      <c r="G66" s="12">
        <v>366</v>
      </c>
      <c r="H66" s="12">
        <f t="shared" si="19"/>
        <v>348.43199999999996</v>
      </c>
      <c r="I66" s="12">
        <f t="shared" si="20"/>
        <v>3354.7549155555557</v>
      </c>
      <c r="J66" s="11">
        <v>5.0170000000000003</v>
      </c>
      <c r="K66" s="7">
        <f t="shared" si="21"/>
        <v>48.304419259259269</v>
      </c>
      <c r="L66" s="28" t="s">
        <v>1051</v>
      </c>
      <c r="M66" s="29">
        <v>54.81</v>
      </c>
      <c r="N66" s="48">
        <f t="shared" si="22"/>
        <v>40.066110000000002</v>
      </c>
      <c r="O66" s="48">
        <f t="shared" si="23"/>
        <v>201.01167387000001</v>
      </c>
      <c r="P66" s="48">
        <f t="shared" si="24"/>
        <v>1935.3701755276004</v>
      </c>
      <c r="Q66" s="48">
        <f t="shared" si="25"/>
        <v>5290.1250910831559</v>
      </c>
      <c r="R66" s="41">
        <f t="shared" si="26"/>
        <v>7446.3530045596626</v>
      </c>
    </row>
    <row r="67" spans="2:19" x14ac:dyDescent="0.2">
      <c r="B67" s="61">
        <f>IF(F67&lt;&gt;"",1+MAX($B$21:B66),"")</f>
        <v>28</v>
      </c>
      <c r="C67" s="197"/>
      <c r="D67" s="73" t="s">
        <v>239</v>
      </c>
      <c r="E67" s="14" t="s">
        <v>73</v>
      </c>
      <c r="F67" s="23">
        <f>8.5*2*0.83/27</f>
        <v>0.52259259259259261</v>
      </c>
      <c r="G67" s="12">
        <v>366</v>
      </c>
      <c r="H67" s="12">
        <f t="shared" si="19"/>
        <v>348.43199999999996</v>
      </c>
      <c r="I67" s="12">
        <f t="shared" si="20"/>
        <v>182.08798222222219</v>
      </c>
      <c r="J67" s="11">
        <v>5.0170000000000003</v>
      </c>
      <c r="K67" s="7">
        <f t="shared" si="21"/>
        <v>2.6218470370370373</v>
      </c>
      <c r="L67" s="28" t="s">
        <v>1051</v>
      </c>
      <c r="M67" s="29">
        <v>54.81</v>
      </c>
      <c r="N67" s="48">
        <f t="shared" si="22"/>
        <v>40.066110000000002</v>
      </c>
      <c r="O67" s="48">
        <f t="shared" si="23"/>
        <v>201.01167387000001</v>
      </c>
      <c r="P67" s="48">
        <f t="shared" si="24"/>
        <v>105.0472117891</v>
      </c>
      <c r="Q67" s="48">
        <f t="shared" si="25"/>
        <v>287.1351940113222</v>
      </c>
      <c r="R67" s="41">
        <f t="shared" si="26"/>
        <v>404.17002959815682</v>
      </c>
    </row>
    <row r="68" spans="2:19" x14ac:dyDescent="0.2">
      <c r="B68" s="61" t="str">
        <f>IF(F68&lt;&gt;"",1+MAX($B$21:B67),"")</f>
        <v/>
      </c>
      <c r="C68" s="67"/>
      <c r="D68" s="73"/>
      <c r="E68" s="14"/>
      <c r="F68" s="23"/>
      <c r="G68" s="48"/>
      <c r="H68" s="48">
        <f t="shared" si="19"/>
        <v>0</v>
      </c>
      <c r="I68" s="48">
        <f t="shared" si="20"/>
        <v>0</v>
      </c>
      <c r="J68" s="49"/>
      <c r="K68" s="50">
        <f t="shared" si="21"/>
        <v>0</v>
      </c>
      <c r="L68" s="50"/>
      <c r="M68" s="48"/>
      <c r="N68" s="48">
        <f t="shared" si="22"/>
        <v>0</v>
      </c>
      <c r="O68" s="48">
        <f t="shared" si="23"/>
        <v>0</v>
      </c>
      <c r="P68" s="48">
        <f t="shared" si="24"/>
        <v>0</v>
      </c>
      <c r="Q68" s="48">
        <f t="shared" si="25"/>
        <v>0</v>
      </c>
      <c r="R68" s="41">
        <f t="shared" si="26"/>
        <v>0</v>
      </c>
    </row>
    <row r="69" spans="2:19" x14ac:dyDescent="0.2">
      <c r="B69" s="62" t="str">
        <f>IF(F69&lt;&gt;"",1+MAX($B$21:B68),"")</f>
        <v/>
      </c>
      <c r="C69" s="68"/>
      <c r="D69" s="74" t="s">
        <v>863</v>
      </c>
      <c r="E69" s="14"/>
      <c r="F69" s="19"/>
      <c r="G69" s="48"/>
      <c r="H69" s="48">
        <f t="shared" si="19"/>
        <v>0</v>
      </c>
      <c r="I69" s="48">
        <f t="shared" si="20"/>
        <v>0</v>
      </c>
      <c r="J69" s="49"/>
      <c r="K69" s="50">
        <f t="shared" si="21"/>
        <v>0</v>
      </c>
      <c r="L69" s="50"/>
      <c r="M69" s="48"/>
      <c r="N69" s="48">
        <f t="shared" si="22"/>
        <v>0</v>
      </c>
      <c r="O69" s="48">
        <f t="shared" si="23"/>
        <v>0</v>
      </c>
      <c r="P69" s="48">
        <f t="shared" si="24"/>
        <v>0</v>
      </c>
      <c r="Q69" s="48">
        <f t="shared" si="25"/>
        <v>0</v>
      </c>
      <c r="R69" s="41">
        <f t="shared" si="26"/>
        <v>0</v>
      </c>
    </row>
    <row r="70" spans="2:19" s="9" customFormat="1" x14ac:dyDescent="0.2">
      <c r="B70" s="61">
        <f>IF(F70&lt;&gt;"",1+MAX($B$21:B69),"")</f>
        <v>29</v>
      </c>
      <c r="C70" s="67" t="s">
        <v>700</v>
      </c>
      <c r="D70" s="73" t="s">
        <v>864</v>
      </c>
      <c r="E70" s="14" t="s">
        <v>73</v>
      </c>
      <c r="F70" s="137">
        <f>1.5*1.5*0.5*1/27</f>
        <v>4.1666666666666664E-2</v>
      </c>
      <c r="G70" s="12">
        <v>304.22000000000003</v>
      </c>
      <c r="H70" s="12">
        <f t="shared" si="19"/>
        <v>289.61743999999999</v>
      </c>
      <c r="I70" s="12">
        <f t="shared" ref="I70" si="27">F70*H70</f>
        <v>12.067393333333332</v>
      </c>
      <c r="J70" s="11">
        <v>6.415</v>
      </c>
      <c r="K70" s="7">
        <f t="shared" ref="K70" si="28">F70*J70</f>
        <v>0.26729166666666665</v>
      </c>
      <c r="L70" s="28" t="s">
        <v>1050</v>
      </c>
      <c r="M70" s="29">
        <v>52.21</v>
      </c>
      <c r="N70" s="48">
        <f t="shared" si="22"/>
        <v>38.165509999999998</v>
      </c>
      <c r="O70" s="48">
        <f t="shared" si="23"/>
        <v>244.83174664999999</v>
      </c>
      <c r="P70" s="48">
        <f t="shared" si="24"/>
        <v>10.201322777083332</v>
      </c>
      <c r="Q70" s="48">
        <f t="shared" si="25"/>
        <v>22.268716110416662</v>
      </c>
      <c r="R70" s="41">
        <f t="shared" si="26"/>
        <v>31.408195653564579</v>
      </c>
    </row>
    <row r="71" spans="2:19" x14ac:dyDescent="0.2">
      <c r="B71" s="61" t="str">
        <f>IF(F71&lt;&gt;"",1+MAX($B$21:B70),"")</f>
        <v/>
      </c>
      <c r="C71" s="67"/>
      <c r="D71" s="73"/>
      <c r="E71" s="14"/>
      <c r="F71" s="23"/>
      <c r="G71" s="48"/>
      <c r="H71" s="48">
        <f t="shared" si="19"/>
        <v>0</v>
      </c>
      <c r="I71" s="48">
        <f t="shared" si="20"/>
        <v>0</v>
      </c>
      <c r="J71" s="49"/>
      <c r="K71" s="50">
        <f t="shared" si="21"/>
        <v>0</v>
      </c>
      <c r="L71" s="50"/>
      <c r="M71" s="48"/>
      <c r="N71" s="48">
        <f t="shared" si="22"/>
        <v>0</v>
      </c>
      <c r="O71" s="48">
        <f t="shared" si="23"/>
        <v>0</v>
      </c>
      <c r="P71" s="48">
        <f t="shared" si="24"/>
        <v>0</v>
      </c>
      <c r="Q71" s="48">
        <f t="shared" si="25"/>
        <v>0</v>
      </c>
      <c r="R71" s="41">
        <f t="shared" si="26"/>
        <v>0</v>
      </c>
    </row>
    <row r="72" spans="2:19" x14ac:dyDescent="0.2">
      <c r="B72" s="62" t="str">
        <f>IF(F72&lt;&gt;"",1+MAX($B$21:B71),"")</f>
        <v/>
      </c>
      <c r="C72" s="68"/>
      <c r="D72" s="74" t="s">
        <v>120</v>
      </c>
      <c r="E72" s="14"/>
      <c r="F72" s="19"/>
      <c r="G72" s="48"/>
      <c r="H72" s="48">
        <f t="shared" si="19"/>
        <v>0</v>
      </c>
      <c r="I72" s="48">
        <f t="shared" si="20"/>
        <v>0</v>
      </c>
      <c r="J72" s="49"/>
      <c r="K72" s="50">
        <f t="shared" si="21"/>
        <v>0</v>
      </c>
      <c r="L72" s="50"/>
      <c r="M72" s="48"/>
      <c r="N72" s="48">
        <f t="shared" si="22"/>
        <v>0</v>
      </c>
      <c r="O72" s="48">
        <f t="shared" si="23"/>
        <v>0</v>
      </c>
      <c r="P72" s="48">
        <f t="shared" si="24"/>
        <v>0</v>
      </c>
      <c r="Q72" s="48">
        <f t="shared" si="25"/>
        <v>0</v>
      </c>
      <c r="R72" s="41">
        <f t="shared" si="26"/>
        <v>0</v>
      </c>
    </row>
    <row r="73" spans="2:19" s="9" customFormat="1" x14ac:dyDescent="0.2">
      <c r="B73" s="61">
        <f>IF(F73&lt;&gt;"",1+MAX($B$21:B72),"")</f>
        <v>30</v>
      </c>
      <c r="C73" s="67"/>
      <c r="D73" s="73" t="s">
        <v>121</v>
      </c>
      <c r="E73" s="14" t="s">
        <v>72</v>
      </c>
      <c r="F73" s="19">
        <v>1420</v>
      </c>
      <c r="G73" s="12">
        <v>2</v>
      </c>
      <c r="H73" s="12">
        <f t="shared" si="19"/>
        <v>1.9039999999999999</v>
      </c>
      <c r="I73" s="12">
        <f t="shared" si="20"/>
        <v>2703.68</v>
      </c>
      <c r="J73" s="11">
        <v>3.6999999999999998E-2</v>
      </c>
      <c r="K73" s="7">
        <f t="shared" si="21"/>
        <v>52.54</v>
      </c>
      <c r="L73" s="28" t="s">
        <v>1052</v>
      </c>
      <c r="M73" s="29">
        <v>53.15</v>
      </c>
      <c r="N73" s="48">
        <f t="shared" si="22"/>
        <v>38.852649999999997</v>
      </c>
      <c r="O73" s="48">
        <f t="shared" si="23"/>
        <v>1.4375480499999997</v>
      </c>
      <c r="P73" s="48">
        <f t="shared" si="24"/>
        <v>2041.3182309999997</v>
      </c>
      <c r="Q73" s="48">
        <f t="shared" si="25"/>
        <v>4744.9982309999996</v>
      </c>
      <c r="R73" s="41">
        <f t="shared" si="26"/>
        <v>6688.3798676369979</v>
      </c>
    </row>
    <row r="74" spans="2:19" s="9" customFormat="1" ht="13.5" thickBot="1" x14ac:dyDescent="0.25">
      <c r="B74" s="61" t="str">
        <f>IF(F74&lt;&gt;"",1+MAX($B$21:B73),"")</f>
        <v/>
      </c>
      <c r="C74" s="67"/>
      <c r="D74" s="73"/>
      <c r="E74" s="14"/>
      <c r="F74" s="19"/>
      <c r="G74" s="48"/>
      <c r="H74" s="48">
        <f t="shared" si="19"/>
        <v>0</v>
      </c>
      <c r="I74" s="48">
        <f t="shared" si="20"/>
        <v>0</v>
      </c>
      <c r="J74" s="49"/>
      <c r="K74" s="50">
        <f t="shared" si="21"/>
        <v>0</v>
      </c>
      <c r="L74" s="50"/>
      <c r="M74" s="48"/>
      <c r="N74" s="48">
        <f t="shared" si="22"/>
        <v>0</v>
      </c>
      <c r="O74" s="48">
        <f t="shared" si="23"/>
        <v>0</v>
      </c>
      <c r="P74" s="48">
        <f t="shared" si="24"/>
        <v>0</v>
      </c>
      <c r="Q74" s="48">
        <f t="shared" si="25"/>
        <v>0</v>
      </c>
      <c r="R74" s="41">
        <f t="shared" si="26"/>
        <v>0</v>
      </c>
    </row>
    <row r="75" spans="2:19" s="9" customFormat="1" ht="26.25" thickBot="1" x14ac:dyDescent="0.25">
      <c r="B75" s="59" t="str">
        <f>IF(F75&lt;&gt;"",1+MAX($B$21:B74),"")</f>
        <v/>
      </c>
      <c r="C75" s="65" t="s">
        <v>235</v>
      </c>
      <c r="D75" s="72" t="s">
        <v>236</v>
      </c>
      <c r="E75" s="51"/>
      <c r="F75" s="51"/>
      <c r="G75" s="51"/>
      <c r="H75" s="52" t="s">
        <v>61</v>
      </c>
      <c r="I75" s="53">
        <f>SUM(I76:I89)</f>
        <v>4411.9619851999996</v>
      </c>
      <c r="J75" s="54"/>
      <c r="K75" s="55" t="str">
        <f>ROUND(SUM(K76:K89),0) &amp; " " &amp; "HRS"</f>
        <v>224 HRS</v>
      </c>
      <c r="L75" s="56"/>
      <c r="M75" s="56"/>
      <c r="N75" s="56"/>
      <c r="O75" s="52" t="s">
        <v>62</v>
      </c>
      <c r="P75" s="53">
        <f>SUM(P76:P89)</f>
        <v>7798.6140863668006</v>
      </c>
      <c r="Q75" s="57">
        <f>SUM(Q76:Q89)</f>
        <v>12210.5760715668</v>
      </c>
      <c r="R75" s="58">
        <f>(Q75)+(I75*$Q$7)+(P75*$Q$8)+(Q75*$Q$9)+($Q$10*((Q75)+(I75*$Q$7)+(P75*$Q$8)+(Q75*$Q$9)))+(Q75*$Q$11)</f>
        <v>17289.486017378706</v>
      </c>
    </row>
    <row r="76" spans="2:19" x14ac:dyDescent="0.2">
      <c r="B76" s="61" t="str">
        <f>IF(F76&lt;&gt;"",1+MAX($B$21:B75),"")</f>
        <v/>
      </c>
      <c r="C76" s="67"/>
      <c r="D76" s="73"/>
      <c r="E76" s="14"/>
      <c r="F76" s="19"/>
      <c r="G76" s="48"/>
      <c r="H76" s="48">
        <f t="shared" ref="H76:H89" si="29">G76*$T$2</f>
        <v>0</v>
      </c>
      <c r="I76" s="48">
        <f t="shared" ref="I76:I89" si="30">F76*H76</f>
        <v>0</v>
      </c>
      <c r="J76" s="49"/>
      <c r="K76" s="50">
        <f t="shared" ref="K76:K89" si="31">F76*J76</f>
        <v>0</v>
      </c>
      <c r="L76" s="50"/>
      <c r="M76" s="48"/>
      <c r="N76" s="48">
        <f t="shared" ref="N76:N89" si="32">M76*$U$2</f>
        <v>0</v>
      </c>
      <c r="O76" s="48">
        <f t="shared" ref="O76:O89" si="33">J76*N76</f>
        <v>0</v>
      </c>
      <c r="P76" s="48">
        <f t="shared" ref="P76:P89" si="34">F76*O76</f>
        <v>0</v>
      </c>
      <c r="Q76" s="48">
        <f t="shared" ref="Q76:Q89" si="35">I76+P76</f>
        <v>0</v>
      </c>
      <c r="R76" s="41">
        <f t="shared" ref="R76:R89" si="36">Q76+(I76*$Q$7)+(P76*$Q$8)+(Q76*$Q$9)+(Q76*$Q$11)+($Q$10*(Q76+(I76*$Q$7)+(P76*$Q$8)+(Q76*$Q$9)))</f>
        <v>0</v>
      </c>
      <c r="S76" s="9"/>
    </row>
    <row r="77" spans="2:19" x14ac:dyDescent="0.2">
      <c r="B77" s="62" t="str">
        <f>IF(F77&lt;&gt;"",1+MAX($B$21:B76),"")</f>
        <v/>
      </c>
      <c r="C77" s="68"/>
      <c r="D77" s="74" t="s">
        <v>241</v>
      </c>
      <c r="E77" s="14"/>
      <c r="F77" s="19"/>
      <c r="G77" s="48"/>
      <c r="H77" s="48">
        <f t="shared" si="29"/>
        <v>0</v>
      </c>
      <c r="I77" s="48">
        <f t="shared" si="30"/>
        <v>0</v>
      </c>
      <c r="J77" s="49"/>
      <c r="K77" s="50">
        <f t="shared" si="31"/>
        <v>0</v>
      </c>
      <c r="L77" s="50"/>
      <c r="M77" s="48"/>
      <c r="N77" s="48">
        <f t="shared" si="32"/>
        <v>0</v>
      </c>
      <c r="O77" s="48">
        <f t="shared" si="33"/>
        <v>0</v>
      </c>
      <c r="P77" s="48">
        <f t="shared" si="34"/>
        <v>0</v>
      </c>
      <c r="Q77" s="48">
        <f t="shared" si="35"/>
        <v>0</v>
      </c>
      <c r="R77" s="41">
        <f t="shared" si="36"/>
        <v>0</v>
      </c>
    </row>
    <row r="78" spans="2:19" x14ac:dyDescent="0.2">
      <c r="B78" s="61">
        <f>IF(F78&lt;&gt;"",1+MAX($B$21:B77),"")</f>
        <v>31</v>
      </c>
      <c r="C78" s="67" t="s">
        <v>240</v>
      </c>
      <c r="D78" s="73" t="s">
        <v>242</v>
      </c>
      <c r="E78" s="14" t="s">
        <v>72</v>
      </c>
      <c r="F78" s="19">
        <f>157.5*1.33</f>
        <v>209.47500000000002</v>
      </c>
      <c r="G78" s="12">
        <v>3.03</v>
      </c>
      <c r="H78" s="12">
        <f t="shared" si="29"/>
        <v>2.8845599999999996</v>
      </c>
      <c r="I78" s="12">
        <f t="shared" si="30"/>
        <v>604.24320599999999</v>
      </c>
      <c r="J78" s="11">
        <v>0.16500000000000001</v>
      </c>
      <c r="K78" s="7">
        <f t="shared" si="31"/>
        <v>34.563375000000008</v>
      </c>
      <c r="L78" s="28" t="s">
        <v>1053</v>
      </c>
      <c r="M78" s="29">
        <v>46.9</v>
      </c>
      <c r="N78" s="48">
        <f t="shared" si="32"/>
        <v>34.283899999999996</v>
      </c>
      <c r="O78" s="48">
        <f t="shared" si="33"/>
        <v>5.6568434999999999</v>
      </c>
      <c r="P78" s="48">
        <f t="shared" si="34"/>
        <v>1184.9672921625001</v>
      </c>
      <c r="Q78" s="48">
        <f t="shared" si="35"/>
        <v>1789.2104981625002</v>
      </c>
      <c r="R78" s="41">
        <f t="shared" si="36"/>
        <v>2534.7135387742878</v>
      </c>
    </row>
    <row r="79" spans="2:19" x14ac:dyDescent="0.2">
      <c r="B79" s="61" t="str">
        <f>IF(F79&lt;&gt;"",1+MAX($B$21:B78),"")</f>
        <v/>
      </c>
      <c r="C79" s="67"/>
      <c r="D79" s="73"/>
      <c r="E79" s="14"/>
      <c r="F79" s="19"/>
      <c r="G79" s="48"/>
      <c r="H79" s="48">
        <f t="shared" si="29"/>
        <v>0</v>
      </c>
      <c r="I79" s="48">
        <f t="shared" si="30"/>
        <v>0</v>
      </c>
      <c r="J79" s="49"/>
      <c r="K79" s="50">
        <f t="shared" si="31"/>
        <v>0</v>
      </c>
      <c r="L79" s="50"/>
      <c r="M79" s="48"/>
      <c r="N79" s="48">
        <f t="shared" si="32"/>
        <v>0</v>
      </c>
      <c r="O79" s="48">
        <f t="shared" si="33"/>
        <v>0</v>
      </c>
      <c r="P79" s="48">
        <f t="shared" si="34"/>
        <v>0</v>
      </c>
      <c r="Q79" s="48">
        <f t="shared" si="35"/>
        <v>0</v>
      </c>
      <c r="R79" s="41">
        <f t="shared" si="36"/>
        <v>0</v>
      </c>
    </row>
    <row r="80" spans="2:19" x14ac:dyDescent="0.2">
      <c r="B80" s="62" t="str">
        <f>IF(F80&lt;&gt;"",1+MAX($B$21:B79),"")</f>
        <v/>
      </c>
      <c r="C80" s="68"/>
      <c r="D80" s="74" t="s">
        <v>417</v>
      </c>
      <c r="E80" s="14"/>
      <c r="F80" s="19"/>
      <c r="G80" s="48"/>
      <c r="H80" s="48">
        <f t="shared" si="29"/>
        <v>0</v>
      </c>
      <c r="I80" s="48">
        <f t="shared" si="30"/>
        <v>0</v>
      </c>
      <c r="J80" s="49"/>
      <c r="K80" s="50">
        <f t="shared" si="31"/>
        <v>0</v>
      </c>
      <c r="L80" s="50"/>
      <c r="M80" s="48"/>
      <c r="N80" s="48">
        <f t="shared" si="32"/>
        <v>0</v>
      </c>
      <c r="O80" s="48">
        <f t="shared" si="33"/>
        <v>0</v>
      </c>
      <c r="P80" s="48">
        <f t="shared" si="34"/>
        <v>0</v>
      </c>
      <c r="Q80" s="48">
        <f t="shared" si="35"/>
        <v>0</v>
      </c>
      <c r="R80" s="41">
        <f t="shared" si="36"/>
        <v>0</v>
      </c>
    </row>
    <row r="81" spans="2:19" ht="63.75" x14ac:dyDescent="0.2">
      <c r="B81" s="61">
        <f>IF(F81&lt;&gt;"",1+MAX($B$21:B80),"")</f>
        <v>32</v>
      </c>
      <c r="C81" s="198" t="s">
        <v>441</v>
      </c>
      <c r="D81" s="73" t="s">
        <v>433</v>
      </c>
      <c r="E81" s="14" t="s">
        <v>72</v>
      </c>
      <c r="F81" s="19">
        <v>400</v>
      </c>
      <c r="G81" s="12">
        <v>6.63</v>
      </c>
      <c r="H81" s="12">
        <f t="shared" si="29"/>
        <v>6.3117599999999996</v>
      </c>
      <c r="I81" s="12">
        <f t="shared" si="30"/>
        <v>2524.7039999999997</v>
      </c>
      <c r="J81" s="11">
        <v>0.33500000000000002</v>
      </c>
      <c r="K81" s="7">
        <f t="shared" si="31"/>
        <v>134</v>
      </c>
      <c r="L81" s="28" t="s">
        <v>1054</v>
      </c>
      <c r="M81" s="29">
        <v>47.93</v>
      </c>
      <c r="N81" s="48">
        <f t="shared" si="32"/>
        <v>35.036830000000002</v>
      </c>
      <c r="O81" s="48">
        <f t="shared" si="33"/>
        <v>11.737338050000002</v>
      </c>
      <c r="P81" s="48">
        <f t="shared" si="34"/>
        <v>4694.9352200000003</v>
      </c>
      <c r="Q81" s="48">
        <f t="shared" si="35"/>
        <v>7219.63922</v>
      </c>
      <c r="R81" s="41">
        <f t="shared" si="36"/>
        <v>10225.169224539997</v>
      </c>
    </row>
    <row r="82" spans="2:19" x14ac:dyDescent="0.2">
      <c r="B82" s="61" t="str">
        <f>IF(F82&lt;&gt;"",1+MAX($B$21:B81),"")</f>
        <v/>
      </c>
      <c r="C82" s="196"/>
      <c r="D82" s="73"/>
      <c r="E82" s="14"/>
      <c r="F82" s="19"/>
      <c r="G82" s="48"/>
      <c r="H82" s="48">
        <f t="shared" si="29"/>
        <v>0</v>
      </c>
      <c r="I82" s="48">
        <f t="shared" si="30"/>
        <v>0</v>
      </c>
      <c r="J82" s="49"/>
      <c r="K82" s="50">
        <f t="shared" si="31"/>
        <v>0</v>
      </c>
      <c r="L82" s="50"/>
      <c r="M82" s="48"/>
      <c r="N82" s="48">
        <f t="shared" si="32"/>
        <v>0</v>
      </c>
      <c r="O82" s="48">
        <f t="shared" si="33"/>
        <v>0</v>
      </c>
      <c r="P82" s="48">
        <f t="shared" si="34"/>
        <v>0</v>
      </c>
      <c r="Q82" s="48">
        <f t="shared" si="35"/>
        <v>0</v>
      </c>
      <c r="R82" s="41">
        <f t="shared" si="36"/>
        <v>0</v>
      </c>
    </row>
    <row r="83" spans="2:19" x14ac:dyDescent="0.2">
      <c r="B83" s="61" t="str">
        <f>IF(F83&lt;&gt;"",1+MAX($B$21:B82),"")</f>
        <v/>
      </c>
      <c r="C83" s="196"/>
      <c r="D83" s="75" t="s">
        <v>420</v>
      </c>
      <c r="E83" s="14"/>
      <c r="F83" s="19"/>
      <c r="G83" s="48"/>
      <c r="H83" s="48">
        <f t="shared" si="29"/>
        <v>0</v>
      </c>
      <c r="I83" s="48">
        <f t="shared" si="30"/>
        <v>0</v>
      </c>
      <c r="J83" s="49"/>
      <c r="K83" s="50">
        <f t="shared" si="31"/>
        <v>0</v>
      </c>
      <c r="L83" s="50"/>
      <c r="M83" s="48"/>
      <c r="N83" s="48">
        <f t="shared" si="32"/>
        <v>0</v>
      </c>
      <c r="O83" s="48">
        <f t="shared" si="33"/>
        <v>0</v>
      </c>
      <c r="P83" s="48">
        <f t="shared" si="34"/>
        <v>0</v>
      </c>
      <c r="Q83" s="48">
        <f t="shared" si="35"/>
        <v>0</v>
      </c>
      <c r="R83" s="41">
        <f t="shared" si="36"/>
        <v>0</v>
      </c>
    </row>
    <row r="84" spans="2:19" x14ac:dyDescent="0.2">
      <c r="B84" s="61">
        <f>IF(F84&lt;&gt;"",1+MAX($B$21:B83),"")</f>
        <v>33</v>
      </c>
      <c r="C84" s="196"/>
      <c r="D84" s="73" t="s">
        <v>418</v>
      </c>
      <c r="E84" s="14" t="s">
        <v>74</v>
      </c>
      <c r="F84" s="19">
        <v>149.33000000000001</v>
      </c>
      <c r="G84" s="12">
        <v>1.8</v>
      </c>
      <c r="H84" s="12">
        <f t="shared" si="29"/>
        <v>1.7136</v>
      </c>
      <c r="I84" s="12">
        <f t="shared" si="30"/>
        <v>255.89188800000002</v>
      </c>
      <c r="J84" s="11">
        <v>9.0999999999999998E-2</v>
      </c>
      <c r="K84" s="7">
        <f t="shared" si="31"/>
        <v>13.589030000000001</v>
      </c>
      <c r="L84" s="28" t="s">
        <v>1054</v>
      </c>
      <c r="M84" s="29">
        <v>47.93</v>
      </c>
      <c r="N84" s="48">
        <f t="shared" si="32"/>
        <v>35.036830000000002</v>
      </c>
      <c r="O84" s="48">
        <f t="shared" si="33"/>
        <v>3.1883515300000003</v>
      </c>
      <c r="P84" s="48">
        <f t="shared" si="34"/>
        <v>476.11653397490011</v>
      </c>
      <c r="Q84" s="48">
        <f t="shared" si="35"/>
        <v>732.0084219749001</v>
      </c>
      <c r="R84" s="41">
        <f t="shared" si="36"/>
        <v>1036.7457263853823</v>
      </c>
    </row>
    <row r="85" spans="2:19" x14ac:dyDescent="0.2">
      <c r="B85" s="61">
        <f>IF(F85&lt;&gt;"",1+MAX($B$21:B84),"")</f>
        <v>34</v>
      </c>
      <c r="C85" s="196"/>
      <c r="D85" s="73" t="s">
        <v>419</v>
      </c>
      <c r="E85" s="14" t="s">
        <v>74</v>
      </c>
      <c r="F85" s="19">
        <v>149.86000000000001</v>
      </c>
      <c r="G85" s="12">
        <v>4.21</v>
      </c>
      <c r="H85" s="12">
        <f t="shared" si="29"/>
        <v>4.0079199999999995</v>
      </c>
      <c r="I85" s="12">
        <f t="shared" ref="I85" si="37">F85*H85</f>
        <v>600.62689119999993</v>
      </c>
      <c r="J85" s="11">
        <v>0.21299999999999999</v>
      </c>
      <c r="K85" s="7">
        <f t="shared" ref="K85" si="38">F85*J85</f>
        <v>31.920180000000002</v>
      </c>
      <c r="L85" s="28" t="s">
        <v>1054</v>
      </c>
      <c r="M85" s="29">
        <v>47.93</v>
      </c>
      <c r="N85" s="48">
        <f t="shared" si="32"/>
        <v>35.036830000000002</v>
      </c>
      <c r="O85" s="48">
        <f t="shared" si="33"/>
        <v>7.4628447900000001</v>
      </c>
      <c r="P85" s="48">
        <f t="shared" si="34"/>
        <v>1118.3819202294001</v>
      </c>
      <c r="Q85" s="48">
        <f t="shared" si="35"/>
        <v>1719.0088114293999</v>
      </c>
      <c r="R85" s="41">
        <f t="shared" si="36"/>
        <v>2434.6463910390335</v>
      </c>
    </row>
    <row r="86" spans="2:19" x14ac:dyDescent="0.2">
      <c r="B86" s="61" t="str">
        <f>IF(F86&lt;&gt;"",1+MAX($B$21:B85),"")</f>
        <v/>
      </c>
      <c r="C86" s="196"/>
      <c r="D86" s="73"/>
      <c r="E86" s="14"/>
      <c r="F86" s="19"/>
      <c r="G86" s="48"/>
      <c r="H86" s="48">
        <f t="shared" si="29"/>
        <v>0</v>
      </c>
      <c r="I86" s="48">
        <f t="shared" si="30"/>
        <v>0</v>
      </c>
      <c r="J86" s="49"/>
      <c r="K86" s="50">
        <f t="shared" si="31"/>
        <v>0</v>
      </c>
      <c r="L86" s="50"/>
      <c r="M86" s="48"/>
      <c r="N86" s="48">
        <f t="shared" si="32"/>
        <v>0</v>
      </c>
      <c r="O86" s="48">
        <f t="shared" si="33"/>
        <v>0</v>
      </c>
      <c r="P86" s="48">
        <f t="shared" si="34"/>
        <v>0</v>
      </c>
      <c r="Q86" s="48">
        <f t="shared" si="35"/>
        <v>0</v>
      </c>
      <c r="R86" s="41">
        <f t="shared" si="36"/>
        <v>0</v>
      </c>
    </row>
    <row r="87" spans="2:19" x14ac:dyDescent="0.2">
      <c r="B87" s="61" t="str">
        <f>IF(F87&lt;&gt;"",1+MAX($B$21:B86),"")</f>
        <v/>
      </c>
      <c r="C87" s="196"/>
      <c r="D87" s="75" t="s">
        <v>410</v>
      </c>
      <c r="E87" s="14"/>
      <c r="F87" s="19"/>
      <c r="G87" s="48"/>
      <c r="H87" s="48">
        <f t="shared" si="29"/>
        <v>0</v>
      </c>
      <c r="I87" s="48">
        <f t="shared" si="30"/>
        <v>0</v>
      </c>
      <c r="J87" s="49"/>
      <c r="K87" s="50">
        <f t="shared" si="31"/>
        <v>0</v>
      </c>
      <c r="L87" s="50"/>
      <c r="M87" s="48"/>
      <c r="N87" s="48">
        <f t="shared" si="32"/>
        <v>0</v>
      </c>
      <c r="O87" s="48">
        <f t="shared" si="33"/>
        <v>0</v>
      </c>
      <c r="P87" s="48">
        <f t="shared" si="34"/>
        <v>0</v>
      </c>
      <c r="Q87" s="48">
        <f t="shared" si="35"/>
        <v>0</v>
      </c>
      <c r="R87" s="41">
        <f t="shared" si="36"/>
        <v>0</v>
      </c>
    </row>
    <row r="88" spans="2:19" x14ac:dyDescent="0.2">
      <c r="B88" s="61">
        <f>IF(F88&lt;&gt;"",1+MAX($B$21:B87),"")</f>
        <v>35</v>
      </c>
      <c r="C88" s="197"/>
      <c r="D88" s="73" t="s">
        <v>421</v>
      </c>
      <c r="E88" s="14" t="s">
        <v>72</v>
      </c>
      <c r="F88" s="19">
        <v>400</v>
      </c>
      <c r="G88" s="12">
        <v>1.1200000000000001</v>
      </c>
      <c r="H88" s="12">
        <f t="shared" si="29"/>
        <v>1.0662400000000001</v>
      </c>
      <c r="I88" s="12">
        <f t="shared" si="30"/>
        <v>426.49600000000004</v>
      </c>
      <c r="J88" s="11">
        <v>2.4E-2</v>
      </c>
      <c r="K88" s="7">
        <f t="shared" si="31"/>
        <v>9.6</v>
      </c>
      <c r="L88" s="28" t="s">
        <v>1055</v>
      </c>
      <c r="M88" s="29">
        <v>46.2</v>
      </c>
      <c r="N88" s="48">
        <f t="shared" si="32"/>
        <v>33.772199999999998</v>
      </c>
      <c r="O88" s="48">
        <f t="shared" si="33"/>
        <v>0.81053279999999994</v>
      </c>
      <c r="P88" s="48">
        <f t="shared" si="34"/>
        <v>324.21312</v>
      </c>
      <c r="Q88" s="48">
        <f t="shared" si="35"/>
        <v>750.70911999999998</v>
      </c>
      <c r="R88" s="41">
        <f t="shared" si="36"/>
        <v>1058.2111366399999</v>
      </c>
    </row>
    <row r="89" spans="2:19" ht="13.5" thickBot="1" x14ac:dyDescent="0.25">
      <c r="B89" s="61" t="str">
        <f>IF(F89&lt;&gt;"",1+MAX($B$21:B88),"")</f>
        <v/>
      </c>
      <c r="C89" s="67"/>
      <c r="D89" s="73"/>
      <c r="E89" s="14"/>
      <c r="F89" s="19"/>
      <c r="G89" s="48"/>
      <c r="H89" s="48">
        <f t="shared" si="29"/>
        <v>0</v>
      </c>
      <c r="I89" s="48">
        <f t="shared" si="30"/>
        <v>0</v>
      </c>
      <c r="J89" s="49"/>
      <c r="K89" s="50">
        <f t="shared" si="31"/>
        <v>0</v>
      </c>
      <c r="L89" s="50"/>
      <c r="M89" s="48"/>
      <c r="N89" s="48">
        <f t="shared" si="32"/>
        <v>0</v>
      </c>
      <c r="O89" s="48">
        <f t="shared" si="33"/>
        <v>0</v>
      </c>
      <c r="P89" s="48">
        <f t="shared" si="34"/>
        <v>0</v>
      </c>
      <c r="Q89" s="48">
        <f t="shared" si="35"/>
        <v>0</v>
      </c>
      <c r="R89" s="41">
        <f t="shared" si="36"/>
        <v>0</v>
      </c>
    </row>
    <row r="90" spans="2:19" s="9" customFormat="1" ht="26.25" thickBot="1" x14ac:dyDescent="0.25">
      <c r="B90" s="59" t="str">
        <f>IF(F90&lt;&gt;"",1+MAX($B$21:B89),"")</f>
        <v/>
      </c>
      <c r="C90" s="65" t="s">
        <v>43</v>
      </c>
      <c r="D90" s="72" t="s">
        <v>9</v>
      </c>
      <c r="E90" s="51"/>
      <c r="F90" s="51"/>
      <c r="G90" s="51"/>
      <c r="H90" s="52" t="s">
        <v>61</v>
      </c>
      <c r="I90" s="53">
        <f>SUM(I91:I154)</f>
        <v>64578.274924799989</v>
      </c>
      <c r="J90" s="54"/>
      <c r="K90" s="55" t="str">
        <f>ROUND(SUM(K91:K154),0) &amp; " " &amp; "HRS"</f>
        <v>777 HRS</v>
      </c>
      <c r="L90" s="56"/>
      <c r="M90" s="56"/>
      <c r="N90" s="56"/>
      <c r="O90" s="52" t="s">
        <v>62</v>
      </c>
      <c r="P90" s="53">
        <f>SUM(P91:P154)</f>
        <v>40678.917966386507</v>
      </c>
      <c r="Q90" s="57">
        <f>SUM(Q91:Q154)</f>
        <v>105257.19289118647</v>
      </c>
      <c r="R90" s="58">
        <f>(Q90)+(I90*$Q$7)+(P90*$Q$8)+(Q90*$Q$9)+($Q$10*((Q90)+(I90*$Q$7)+(P90*$Q$8)+(Q90*$Q$9)))+(Q90*$Q$11)</f>
        <v>148225.91904302422</v>
      </c>
    </row>
    <row r="91" spans="2:19" x14ac:dyDescent="0.2">
      <c r="B91" s="61" t="str">
        <f>IF(F91&lt;&gt;"",1+MAX($B$21:B90),"")</f>
        <v/>
      </c>
      <c r="C91" s="67"/>
      <c r="D91" s="73"/>
      <c r="E91" s="14"/>
      <c r="F91" s="19"/>
      <c r="G91" s="48"/>
      <c r="H91" s="48">
        <f t="shared" ref="H91:H154" si="39">G91*$T$2</f>
        <v>0</v>
      </c>
      <c r="I91" s="48">
        <f t="shared" ref="I91:I154" si="40">F91*H91</f>
        <v>0</v>
      </c>
      <c r="J91" s="49"/>
      <c r="K91" s="50">
        <f t="shared" ref="K91:K154" si="41">F91*J91</f>
        <v>0</v>
      </c>
      <c r="L91" s="50"/>
      <c r="M91" s="48"/>
      <c r="N91" s="48">
        <f t="shared" ref="N91:N154" si="42">M91*$U$2</f>
        <v>0</v>
      </c>
      <c r="O91" s="48">
        <f t="shared" ref="O91:O154" si="43">J91*N91</f>
        <v>0</v>
      </c>
      <c r="P91" s="48">
        <f t="shared" ref="P91:P154" si="44">F91*O91</f>
        <v>0</v>
      </c>
      <c r="Q91" s="48">
        <f t="shared" ref="Q91:Q154" si="45">I91+P91</f>
        <v>0</v>
      </c>
      <c r="R91" s="41">
        <f t="shared" ref="R91:R154" si="46">Q91+(I91*$Q$7)+(P91*$Q$8)+(Q91*$Q$9)+(Q91*$Q$11)+($Q$10*(Q91+(I91*$Q$7)+(P91*$Q$8)+(Q91*$Q$9)))</f>
        <v>0</v>
      </c>
      <c r="S91" s="9"/>
    </row>
    <row r="92" spans="2:19" x14ac:dyDescent="0.2">
      <c r="B92" s="62" t="str">
        <f>IF(F92&lt;&gt;"",1+MAX($B$21:B91),"")</f>
        <v/>
      </c>
      <c r="C92" s="68"/>
      <c r="D92" s="74" t="s">
        <v>126</v>
      </c>
      <c r="E92" s="14"/>
      <c r="F92" s="19"/>
      <c r="G92" s="48"/>
      <c r="H92" s="48">
        <f t="shared" si="39"/>
        <v>0</v>
      </c>
      <c r="I92" s="48">
        <f t="shared" si="40"/>
        <v>0</v>
      </c>
      <c r="J92" s="49"/>
      <c r="K92" s="50">
        <f t="shared" si="41"/>
        <v>0</v>
      </c>
      <c r="L92" s="50"/>
      <c r="M92" s="48"/>
      <c r="N92" s="48">
        <f t="shared" si="42"/>
        <v>0</v>
      </c>
      <c r="O92" s="48">
        <f t="shared" si="43"/>
        <v>0</v>
      </c>
      <c r="P92" s="48">
        <f t="shared" si="44"/>
        <v>0</v>
      </c>
      <c r="Q92" s="48">
        <f t="shared" si="45"/>
        <v>0</v>
      </c>
      <c r="R92" s="41">
        <f t="shared" si="46"/>
        <v>0</v>
      </c>
    </row>
    <row r="93" spans="2:19" x14ac:dyDescent="0.2">
      <c r="B93" s="61">
        <f>IF(F93&lt;&gt;"",1+MAX($B$21:B92),"")</f>
        <v>36</v>
      </c>
      <c r="C93" s="198" t="s">
        <v>293</v>
      </c>
      <c r="D93" s="73" t="s">
        <v>249</v>
      </c>
      <c r="E93" s="14" t="s">
        <v>74</v>
      </c>
      <c r="F93" s="19">
        <f>6*1.58</f>
        <v>9.48</v>
      </c>
      <c r="G93" s="12">
        <v>5.47</v>
      </c>
      <c r="H93" s="12">
        <f t="shared" si="39"/>
        <v>5.2074399999999992</v>
      </c>
      <c r="I93" s="12">
        <f t="shared" si="40"/>
        <v>49.366531199999997</v>
      </c>
      <c r="J93" s="11">
        <v>0.04</v>
      </c>
      <c r="K93" s="7">
        <f t="shared" si="41"/>
        <v>0.37920000000000004</v>
      </c>
      <c r="L93" s="28" t="s">
        <v>1056</v>
      </c>
      <c r="M93" s="29">
        <v>87.43</v>
      </c>
      <c r="N93" s="48">
        <f t="shared" si="42"/>
        <v>63.911330000000007</v>
      </c>
      <c r="O93" s="48">
        <f t="shared" si="43"/>
        <v>2.5564532000000004</v>
      </c>
      <c r="P93" s="48">
        <f t="shared" si="44"/>
        <v>24.235176336000006</v>
      </c>
      <c r="Q93" s="48">
        <f t="shared" si="45"/>
        <v>73.601707536000006</v>
      </c>
      <c r="R93" s="41">
        <f t="shared" si="46"/>
        <v>103.519020799152</v>
      </c>
    </row>
    <row r="94" spans="2:19" x14ac:dyDescent="0.2">
      <c r="B94" s="61">
        <f>IF(F94&lt;&gt;"",1+MAX($B$21:B93),"")</f>
        <v>37</v>
      </c>
      <c r="C94" s="196"/>
      <c r="D94" s="73" t="s">
        <v>243</v>
      </c>
      <c r="E94" s="14" t="s">
        <v>74</v>
      </c>
      <c r="F94" s="19">
        <f>6*1.33+5.62</f>
        <v>13.600000000000001</v>
      </c>
      <c r="G94" s="12">
        <v>21.98</v>
      </c>
      <c r="H94" s="12">
        <f t="shared" si="39"/>
        <v>20.924959999999999</v>
      </c>
      <c r="I94" s="12">
        <f t="shared" ref="I94:I98" si="47">F94*H94</f>
        <v>284.57945599999999</v>
      </c>
      <c r="J94" s="11">
        <v>0.159</v>
      </c>
      <c r="K94" s="7">
        <f t="shared" ref="K94:K98" si="48">F94*J94</f>
        <v>2.1624000000000003</v>
      </c>
      <c r="L94" s="28" t="s">
        <v>1056</v>
      </c>
      <c r="M94" s="29">
        <v>87.43</v>
      </c>
      <c r="N94" s="48">
        <f t="shared" si="42"/>
        <v>63.911330000000007</v>
      </c>
      <c r="O94" s="48">
        <f t="shared" ref="O94:O98" si="49">J94*N94</f>
        <v>10.161901470000002</v>
      </c>
      <c r="P94" s="48">
        <f t="shared" ref="P94:P98" si="50">F94*O94</f>
        <v>138.20185999200004</v>
      </c>
      <c r="Q94" s="48">
        <f t="shared" ref="Q94:Q98" si="51">I94+P94</f>
        <v>422.78131599200003</v>
      </c>
      <c r="R94" s="41">
        <f t="shared" si="46"/>
        <v>594.60080656698403</v>
      </c>
    </row>
    <row r="95" spans="2:19" x14ac:dyDescent="0.2">
      <c r="B95" s="61">
        <f>IF(F95&lt;&gt;"",1+MAX($B$21:B94),"")</f>
        <v>38</v>
      </c>
      <c r="C95" s="196"/>
      <c r="D95" s="73" t="s">
        <v>244</v>
      </c>
      <c r="E95" s="14" t="s">
        <v>74</v>
      </c>
      <c r="F95" s="19">
        <v>39.14</v>
      </c>
      <c r="G95" s="12">
        <v>40.270000000000003</v>
      </c>
      <c r="H95" s="12">
        <f t="shared" si="39"/>
        <v>38.337040000000002</v>
      </c>
      <c r="I95" s="12">
        <f t="shared" si="47"/>
        <v>1500.5117456</v>
      </c>
      <c r="J95" s="11">
        <v>0.29099999999999998</v>
      </c>
      <c r="K95" s="7">
        <f t="shared" si="48"/>
        <v>11.38974</v>
      </c>
      <c r="L95" s="28" t="s">
        <v>1056</v>
      </c>
      <c r="M95" s="29">
        <v>87.43</v>
      </c>
      <c r="N95" s="48">
        <f t="shared" si="42"/>
        <v>63.911330000000007</v>
      </c>
      <c r="O95" s="48">
        <f t="shared" si="49"/>
        <v>18.598197030000001</v>
      </c>
      <c r="P95" s="48">
        <f t="shared" si="50"/>
        <v>727.93343175420011</v>
      </c>
      <c r="Q95" s="48">
        <f t="shared" si="51"/>
        <v>2228.4451773542</v>
      </c>
      <c r="R95" s="41">
        <f t="shared" si="46"/>
        <v>3134.0756086690835</v>
      </c>
    </row>
    <row r="96" spans="2:19" x14ac:dyDescent="0.2">
      <c r="B96" s="61">
        <f>IF(F96&lt;&gt;"",1+MAX($B$21:B95),"")</f>
        <v>39</v>
      </c>
      <c r="C96" s="196"/>
      <c r="D96" s="73" t="s">
        <v>245</v>
      </c>
      <c r="E96" s="14" t="s">
        <v>74</v>
      </c>
      <c r="F96" s="19">
        <v>19.72</v>
      </c>
      <c r="G96" s="12">
        <v>63.43</v>
      </c>
      <c r="H96" s="12">
        <f t="shared" si="39"/>
        <v>60.385359999999999</v>
      </c>
      <c r="I96" s="12">
        <f t="shared" si="47"/>
        <v>1190.7992992</v>
      </c>
      <c r="J96" s="11">
        <v>0.45800000000000002</v>
      </c>
      <c r="K96" s="7">
        <f t="shared" si="48"/>
        <v>9.0317600000000002</v>
      </c>
      <c r="L96" s="28" t="s">
        <v>1056</v>
      </c>
      <c r="M96" s="29">
        <v>87.43</v>
      </c>
      <c r="N96" s="48">
        <f t="shared" si="42"/>
        <v>63.911330000000007</v>
      </c>
      <c r="O96" s="48">
        <f t="shared" si="49"/>
        <v>29.271389140000004</v>
      </c>
      <c r="P96" s="48">
        <f t="shared" si="50"/>
        <v>577.23179384080004</v>
      </c>
      <c r="Q96" s="48">
        <f t="shared" si="51"/>
        <v>1768.0310930408</v>
      </c>
      <c r="R96" s="41">
        <f t="shared" si="46"/>
        <v>2486.5419112137015</v>
      </c>
    </row>
    <row r="97" spans="2:19" x14ac:dyDescent="0.2">
      <c r="B97" s="61">
        <f>IF(F97&lt;&gt;"",1+MAX($B$21:B96),"")</f>
        <v>40</v>
      </c>
      <c r="C97" s="196"/>
      <c r="D97" s="73" t="s">
        <v>246</v>
      </c>
      <c r="E97" s="14" t="s">
        <v>74</v>
      </c>
      <c r="F97" s="19">
        <v>236.34</v>
      </c>
      <c r="G97" s="12">
        <v>49.46</v>
      </c>
      <c r="H97" s="12">
        <f t="shared" si="39"/>
        <v>47.085920000000002</v>
      </c>
      <c r="I97" s="12">
        <f t="shared" si="47"/>
        <v>11128.2863328</v>
      </c>
      <c r="J97" s="11">
        <v>0.35699999999999998</v>
      </c>
      <c r="K97" s="7">
        <f t="shared" si="48"/>
        <v>84.373379999999997</v>
      </c>
      <c r="L97" s="28" t="s">
        <v>1056</v>
      </c>
      <c r="M97" s="29">
        <v>87.43</v>
      </c>
      <c r="N97" s="48">
        <f t="shared" si="42"/>
        <v>63.911330000000007</v>
      </c>
      <c r="O97" s="48">
        <f t="shared" si="49"/>
        <v>22.81634481</v>
      </c>
      <c r="P97" s="48">
        <f t="shared" si="50"/>
        <v>5392.4149323953998</v>
      </c>
      <c r="Q97" s="48">
        <f t="shared" si="51"/>
        <v>16520.701265195399</v>
      </c>
      <c r="R97" s="41">
        <f t="shared" si="46"/>
        <v>23234.515143650155</v>
      </c>
    </row>
    <row r="98" spans="2:19" x14ac:dyDescent="0.2">
      <c r="B98" s="61">
        <f>IF(F98&lt;&gt;"",1+MAX($B$21:B97),"")</f>
        <v>41</v>
      </c>
      <c r="C98" s="197"/>
      <c r="D98" s="73" t="s">
        <v>247</v>
      </c>
      <c r="E98" s="14" t="s">
        <v>74</v>
      </c>
      <c r="F98" s="19">
        <v>97.3</v>
      </c>
      <c r="G98" s="12">
        <v>75.69</v>
      </c>
      <c r="H98" s="12">
        <f t="shared" si="39"/>
        <v>72.056879999999992</v>
      </c>
      <c r="I98" s="12">
        <f t="shared" si="47"/>
        <v>7011.1344239999989</v>
      </c>
      <c r="J98" s="11">
        <v>0.54700000000000004</v>
      </c>
      <c r="K98" s="7">
        <f t="shared" si="48"/>
        <v>53.223100000000002</v>
      </c>
      <c r="L98" s="28" t="s">
        <v>1056</v>
      </c>
      <c r="M98" s="29">
        <v>87.43</v>
      </c>
      <c r="N98" s="48">
        <f t="shared" si="42"/>
        <v>63.911330000000007</v>
      </c>
      <c r="O98" s="48">
        <f t="shared" si="49"/>
        <v>34.959497510000006</v>
      </c>
      <c r="P98" s="48">
        <f t="shared" si="50"/>
        <v>3401.5591077230006</v>
      </c>
      <c r="Q98" s="48">
        <f t="shared" si="51"/>
        <v>10412.693531723</v>
      </c>
      <c r="R98" s="41">
        <f t="shared" si="46"/>
        <v>14644.372956394323</v>
      </c>
    </row>
    <row r="99" spans="2:19" x14ac:dyDescent="0.2">
      <c r="B99" s="61" t="str">
        <f>IF(F99&lt;&gt;"",1+MAX($B$21:B98),"")</f>
        <v/>
      </c>
      <c r="C99" s="67"/>
      <c r="D99" s="73"/>
      <c r="E99" s="14"/>
      <c r="F99" s="19"/>
      <c r="G99" s="48"/>
      <c r="H99" s="48">
        <f t="shared" si="39"/>
        <v>0</v>
      </c>
      <c r="I99" s="48">
        <f t="shared" si="40"/>
        <v>0</v>
      </c>
      <c r="J99" s="49"/>
      <c r="K99" s="50">
        <f t="shared" si="41"/>
        <v>0</v>
      </c>
      <c r="L99" s="50"/>
      <c r="M99" s="48"/>
      <c r="N99" s="48">
        <f t="shared" si="42"/>
        <v>0</v>
      </c>
      <c r="O99" s="48">
        <f t="shared" si="43"/>
        <v>0</v>
      </c>
      <c r="P99" s="48">
        <f t="shared" si="44"/>
        <v>0</v>
      </c>
      <c r="Q99" s="48">
        <f t="shared" si="45"/>
        <v>0</v>
      </c>
      <c r="R99" s="41">
        <f t="shared" si="46"/>
        <v>0</v>
      </c>
    </row>
    <row r="100" spans="2:19" x14ac:dyDescent="0.2">
      <c r="B100" s="62" t="str">
        <f>IF(F100&lt;&gt;"",1+MAX($B$21:B99),"")</f>
        <v/>
      </c>
      <c r="C100" s="68"/>
      <c r="D100" s="74" t="s">
        <v>267</v>
      </c>
      <c r="E100" s="14"/>
      <c r="F100" s="19"/>
      <c r="G100" s="48"/>
      <c r="H100" s="48">
        <f t="shared" si="39"/>
        <v>0</v>
      </c>
      <c r="I100" s="48">
        <f t="shared" si="40"/>
        <v>0</v>
      </c>
      <c r="J100" s="49"/>
      <c r="K100" s="50">
        <f t="shared" si="41"/>
        <v>0</v>
      </c>
      <c r="L100" s="50"/>
      <c r="M100" s="48"/>
      <c r="N100" s="48">
        <f t="shared" si="42"/>
        <v>0</v>
      </c>
      <c r="O100" s="48">
        <f t="shared" si="43"/>
        <v>0</v>
      </c>
      <c r="P100" s="48">
        <f t="shared" si="44"/>
        <v>0</v>
      </c>
      <c r="Q100" s="48">
        <f t="shared" si="45"/>
        <v>0</v>
      </c>
      <c r="R100" s="41">
        <f t="shared" si="46"/>
        <v>0</v>
      </c>
    </row>
    <row r="101" spans="2:19" x14ac:dyDescent="0.2">
      <c r="B101" s="61">
        <f>IF(F101&lt;&gt;"",1+MAX($B$21:B100),"")</f>
        <v>42</v>
      </c>
      <c r="C101" s="195" t="s">
        <v>295</v>
      </c>
      <c r="D101" s="73" t="s">
        <v>250</v>
      </c>
      <c r="E101" s="14" t="s">
        <v>74</v>
      </c>
      <c r="F101" s="19">
        <v>40.21</v>
      </c>
      <c r="G101" s="12">
        <v>21.98</v>
      </c>
      <c r="H101" s="12">
        <f t="shared" si="39"/>
        <v>20.924959999999999</v>
      </c>
      <c r="I101" s="12">
        <f t="shared" si="40"/>
        <v>841.39264159999993</v>
      </c>
      <c r="J101" s="11">
        <v>9.8000000000000004E-2</v>
      </c>
      <c r="K101" s="7">
        <f t="shared" si="41"/>
        <v>3.9405800000000002</v>
      </c>
      <c r="L101" s="28" t="s">
        <v>1056</v>
      </c>
      <c r="M101" s="29">
        <v>87.43</v>
      </c>
      <c r="N101" s="48">
        <f t="shared" si="42"/>
        <v>63.911330000000007</v>
      </c>
      <c r="O101" s="48">
        <f t="shared" ref="O101" si="52">J101*N101</f>
        <v>6.2633103400000012</v>
      </c>
      <c r="P101" s="48">
        <f t="shared" ref="P101" si="53">F101*O101</f>
        <v>251.84770877140005</v>
      </c>
      <c r="Q101" s="48">
        <f t="shared" ref="Q101" si="54">I101+P101</f>
        <v>1093.2403503713999</v>
      </c>
      <c r="R101" s="41">
        <f t="shared" si="46"/>
        <v>1534.3073651470277</v>
      </c>
    </row>
    <row r="102" spans="2:19" x14ac:dyDescent="0.2">
      <c r="B102" s="61">
        <f>IF(F102&lt;&gt;"",1+MAX($B$21:B101),"")</f>
        <v>43</v>
      </c>
      <c r="C102" s="195"/>
      <c r="D102" s="73" t="s">
        <v>251</v>
      </c>
      <c r="E102" s="14" t="s">
        <v>74</v>
      </c>
      <c r="F102" s="19">
        <v>21.5</v>
      </c>
      <c r="G102" s="12">
        <v>28.12</v>
      </c>
      <c r="H102" s="12">
        <f t="shared" si="39"/>
        <v>26.770240000000001</v>
      </c>
      <c r="I102" s="12">
        <f t="shared" ref="I102:I113" si="55">F102*H102</f>
        <v>575.56016</v>
      </c>
      <c r="J102" s="11">
        <v>0.125</v>
      </c>
      <c r="K102" s="7">
        <f t="shared" ref="K102:K118" si="56">F102*J102</f>
        <v>2.6875</v>
      </c>
      <c r="L102" s="28" t="s">
        <v>1056</v>
      </c>
      <c r="M102" s="29">
        <v>87.43</v>
      </c>
      <c r="N102" s="48">
        <f t="shared" si="42"/>
        <v>63.911330000000007</v>
      </c>
      <c r="O102" s="48">
        <f t="shared" si="43"/>
        <v>7.9889162500000008</v>
      </c>
      <c r="P102" s="48">
        <f t="shared" si="44"/>
        <v>171.76169937500001</v>
      </c>
      <c r="Q102" s="48">
        <f t="shared" si="45"/>
        <v>747.32185937500003</v>
      </c>
      <c r="R102" s="41">
        <f t="shared" si="46"/>
        <v>1048.8161524321251</v>
      </c>
    </row>
    <row r="103" spans="2:19" x14ac:dyDescent="0.2">
      <c r="B103" s="61">
        <f>IF(F103&lt;&gt;"",1+MAX($B$21:B102),"")</f>
        <v>44</v>
      </c>
      <c r="C103" s="195"/>
      <c r="D103" s="73" t="s">
        <v>252</v>
      </c>
      <c r="E103" s="14" t="s">
        <v>74</v>
      </c>
      <c r="F103" s="19">
        <v>3</v>
      </c>
      <c r="G103" s="12">
        <v>21.98</v>
      </c>
      <c r="H103" s="12">
        <f t="shared" si="39"/>
        <v>20.924959999999999</v>
      </c>
      <c r="I103" s="12">
        <f t="shared" si="55"/>
        <v>62.774879999999996</v>
      </c>
      <c r="J103" s="11">
        <v>9.8000000000000004E-2</v>
      </c>
      <c r="K103" s="7">
        <f t="shared" si="56"/>
        <v>0.29400000000000004</v>
      </c>
      <c r="L103" s="28" t="s">
        <v>1056</v>
      </c>
      <c r="M103" s="29">
        <v>87.43</v>
      </c>
      <c r="N103" s="48">
        <f t="shared" si="42"/>
        <v>63.911330000000007</v>
      </c>
      <c r="O103" s="48">
        <f t="shared" si="43"/>
        <v>6.2633103400000012</v>
      </c>
      <c r="P103" s="48">
        <f t="shared" si="44"/>
        <v>18.789931020000004</v>
      </c>
      <c r="Q103" s="48">
        <f t="shared" si="45"/>
        <v>81.564811020000008</v>
      </c>
      <c r="R103" s="41">
        <f t="shared" si="46"/>
        <v>114.47207399753999</v>
      </c>
    </row>
    <row r="104" spans="2:19" x14ac:dyDescent="0.2">
      <c r="B104" s="61">
        <f>IF(F104&lt;&gt;"",1+MAX($B$21:B103),"")</f>
        <v>45</v>
      </c>
      <c r="C104" s="195"/>
      <c r="D104" s="73" t="s">
        <v>253</v>
      </c>
      <c r="E104" s="14" t="s">
        <v>74</v>
      </c>
      <c r="F104" s="19">
        <v>22.24</v>
      </c>
      <c r="G104" s="12">
        <v>40.270000000000003</v>
      </c>
      <c r="H104" s="12">
        <f t="shared" si="39"/>
        <v>38.337040000000002</v>
      </c>
      <c r="I104" s="12">
        <f t="shared" si="55"/>
        <v>852.61576960000002</v>
      </c>
      <c r="J104" s="11">
        <v>0.17899999999999999</v>
      </c>
      <c r="K104" s="7">
        <f t="shared" si="56"/>
        <v>3.9809599999999996</v>
      </c>
      <c r="L104" s="28" t="s">
        <v>1056</v>
      </c>
      <c r="M104" s="29">
        <v>87.43</v>
      </c>
      <c r="N104" s="48">
        <f t="shared" si="42"/>
        <v>63.911330000000007</v>
      </c>
      <c r="O104" s="48">
        <f t="shared" si="43"/>
        <v>11.44012807</v>
      </c>
      <c r="P104" s="48">
        <f t="shared" si="44"/>
        <v>254.4284482768</v>
      </c>
      <c r="Q104" s="48">
        <f t="shared" si="45"/>
        <v>1107.0442178768001</v>
      </c>
      <c r="R104" s="41">
        <f t="shared" si="46"/>
        <v>1553.6620563604336</v>
      </c>
    </row>
    <row r="105" spans="2:19" x14ac:dyDescent="0.2">
      <c r="B105" s="61">
        <f>IF(F105&lt;&gt;"",1+MAX($B$21:B104),"")</f>
        <v>46</v>
      </c>
      <c r="C105" s="195"/>
      <c r="D105" s="73" t="s">
        <v>253</v>
      </c>
      <c r="E105" s="14" t="s">
        <v>74</v>
      </c>
      <c r="F105" s="19">
        <v>8.98</v>
      </c>
      <c r="G105" s="12">
        <v>40.270000000000003</v>
      </c>
      <c r="H105" s="12">
        <f t="shared" si="39"/>
        <v>38.337040000000002</v>
      </c>
      <c r="I105" s="12">
        <f t="shared" si="55"/>
        <v>344.26661920000004</v>
      </c>
      <c r="J105" s="11">
        <v>0.17899999999999999</v>
      </c>
      <c r="K105" s="7">
        <f t="shared" si="56"/>
        <v>1.6074200000000001</v>
      </c>
      <c r="L105" s="28" t="s">
        <v>1056</v>
      </c>
      <c r="M105" s="29">
        <v>87.43</v>
      </c>
      <c r="N105" s="48">
        <f t="shared" si="42"/>
        <v>63.911330000000007</v>
      </c>
      <c r="O105" s="48">
        <f t="shared" si="43"/>
        <v>11.44012807</v>
      </c>
      <c r="P105" s="48">
        <f t="shared" si="44"/>
        <v>102.7323500686</v>
      </c>
      <c r="Q105" s="48">
        <f t="shared" si="45"/>
        <v>446.99896926860004</v>
      </c>
      <c r="R105" s="41">
        <f t="shared" si="46"/>
        <v>627.33297059877214</v>
      </c>
      <c r="S105" s="143"/>
    </row>
    <row r="106" spans="2:19" x14ac:dyDescent="0.2">
      <c r="B106" s="61">
        <f>IF(F106&lt;&gt;"",1+MAX($B$21:B105),"")</f>
        <v>47</v>
      </c>
      <c r="C106" s="195"/>
      <c r="D106" s="73" t="s">
        <v>254</v>
      </c>
      <c r="E106" s="14" t="s">
        <v>74</v>
      </c>
      <c r="F106" s="19">
        <v>3.11</v>
      </c>
      <c r="G106" s="12">
        <v>49.46</v>
      </c>
      <c r="H106" s="12">
        <f t="shared" si="39"/>
        <v>47.085920000000002</v>
      </c>
      <c r="I106" s="12">
        <f t="shared" si="55"/>
        <v>146.43721120000001</v>
      </c>
      <c r="J106" s="11">
        <v>0.22</v>
      </c>
      <c r="K106" s="7">
        <f t="shared" si="56"/>
        <v>0.68420000000000003</v>
      </c>
      <c r="L106" s="28" t="s">
        <v>1056</v>
      </c>
      <c r="M106" s="29">
        <v>87.43</v>
      </c>
      <c r="N106" s="48">
        <f t="shared" si="42"/>
        <v>63.911330000000007</v>
      </c>
      <c r="O106" s="48">
        <f t="shared" si="43"/>
        <v>14.060492600000002</v>
      </c>
      <c r="P106" s="48">
        <f t="shared" si="44"/>
        <v>43.728131986000001</v>
      </c>
      <c r="Q106" s="48">
        <f t="shared" si="45"/>
        <v>190.165343186</v>
      </c>
      <c r="R106" s="41">
        <f t="shared" si="46"/>
        <v>266.88496606370194</v>
      </c>
    </row>
    <row r="107" spans="2:19" x14ac:dyDescent="0.2">
      <c r="B107" s="61">
        <f>IF(F107&lt;&gt;"",1+MAX($B$21:B106),"")</f>
        <v>48</v>
      </c>
      <c r="C107" s="195"/>
      <c r="D107" s="73" t="s">
        <v>255</v>
      </c>
      <c r="E107" s="14" t="s">
        <v>74</v>
      </c>
      <c r="F107" s="19">
        <v>76.680000000000007</v>
      </c>
      <c r="G107" s="12">
        <v>28.12</v>
      </c>
      <c r="H107" s="12">
        <f t="shared" si="39"/>
        <v>26.770240000000001</v>
      </c>
      <c r="I107" s="12">
        <f t="shared" si="55"/>
        <v>2052.7420032000005</v>
      </c>
      <c r="J107" s="11">
        <v>0.125</v>
      </c>
      <c r="K107" s="7">
        <f t="shared" si="56"/>
        <v>9.5850000000000009</v>
      </c>
      <c r="L107" s="28" t="s">
        <v>1056</v>
      </c>
      <c r="M107" s="29">
        <v>87.43</v>
      </c>
      <c r="N107" s="48">
        <f t="shared" si="42"/>
        <v>63.911330000000007</v>
      </c>
      <c r="O107" s="48">
        <f t="shared" si="43"/>
        <v>7.9889162500000008</v>
      </c>
      <c r="P107" s="48">
        <f t="shared" si="44"/>
        <v>612.59009805000017</v>
      </c>
      <c r="Q107" s="48">
        <f t="shared" si="45"/>
        <v>2665.3321012500005</v>
      </c>
      <c r="R107" s="41">
        <f t="shared" si="46"/>
        <v>3740.6150031858306</v>
      </c>
    </row>
    <row r="108" spans="2:19" x14ac:dyDescent="0.2">
      <c r="B108" s="61">
        <f>IF(F108&lt;&gt;"",1+MAX($B$21:B107),"")</f>
        <v>49</v>
      </c>
      <c r="C108" s="195"/>
      <c r="D108" s="73" t="s">
        <v>256</v>
      </c>
      <c r="E108" s="14" t="s">
        <v>74</v>
      </c>
      <c r="F108" s="19">
        <v>36.869999999999997</v>
      </c>
      <c r="G108" s="12">
        <v>31.18</v>
      </c>
      <c r="H108" s="12">
        <f t="shared" si="39"/>
        <v>29.683359999999997</v>
      </c>
      <c r="I108" s="12">
        <f t="shared" si="55"/>
        <v>1094.4254831999999</v>
      </c>
      <c r="J108" s="11">
        <v>0.13900000000000001</v>
      </c>
      <c r="K108" s="7">
        <f t="shared" si="56"/>
        <v>5.12493</v>
      </c>
      <c r="L108" s="28" t="s">
        <v>1056</v>
      </c>
      <c r="M108" s="29">
        <v>87.43</v>
      </c>
      <c r="N108" s="48">
        <f t="shared" si="42"/>
        <v>63.911330000000007</v>
      </c>
      <c r="O108" s="48">
        <f t="shared" si="43"/>
        <v>8.8836748700000019</v>
      </c>
      <c r="P108" s="48">
        <f t="shared" si="44"/>
        <v>327.54109245690006</v>
      </c>
      <c r="Q108" s="48">
        <f t="shared" si="45"/>
        <v>1421.9665756569</v>
      </c>
      <c r="R108" s="41">
        <f t="shared" si="46"/>
        <v>1995.6568836764764</v>
      </c>
    </row>
    <row r="109" spans="2:19" x14ac:dyDescent="0.2">
      <c r="B109" s="61">
        <f>IF(F109&lt;&gt;"",1+MAX($B$21:B108),"")</f>
        <v>50</v>
      </c>
      <c r="C109" s="195"/>
      <c r="D109" s="73" t="s">
        <v>257</v>
      </c>
      <c r="E109" s="14" t="s">
        <v>74</v>
      </c>
      <c r="F109" s="19">
        <v>33.61</v>
      </c>
      <c r="G109" s="12">
        <v>40.36</v>
      </c>
      <c r="H109" s="12">
        <f t="shared" si="39"/>
        <v>38.422719999999998</v>
      </c>
      <c r="I109" s="12">
        <f t="shared" si="55"/>
        <v>1291.3876192</v>
      </c>
      <c r="J109" s="11">
        <v>0.17899999999999999</v>
      </c>
      <c r="K109" s="7">
        <f t="shared" si="56"/>
        <v>6.0161899999999999</v>
      </c>
      <c r="L109" s="28" t="s">
        <v>1056</v>
      </c>
      <c r="M109" s="29">
        <v>87.43</v>
      </c>
      <c r="N109" s="48">
        <f t="shared" si="42"/>
        <v>63.911330000000007</v>
      </c>
      <c r="O109" s="48">
        <f t="shared" si="43"/>
        <v>11.44012807</v>
      </c>
      <c r="P109" s="48">
        <f t="shared" si="44"/>
        <v>384.5027044327</v>
      </c>
      <c r="Q109" s="48">
        <f t="shared" si="45"/>
        <v>1675.8903236327001</v>
      </c>
      <c r="R109" s="41">
        <f t="shared" si="46"/>
        <v>2351.979030676343</v>
      </c>
    </row>
    <row r="110" spans="2:19" x14ac:dyDescent="0.2">
      <c r="B110" s="61">
        <f>IF(F110&lt;&gt;"",1+MAX($B$21:B109),"")</f>
        <v>51</v>
      </c>
      <c r="C110" s="195"/>
      <c r="D110" s="73" t="s">
        <v>258</v>
      </c>
      <c r="E110" s="14" t="s">
        <v>74</v>
      </c>
      <c r="F110" s="19">
        <v>65.2</v>
      </c>
      <c r="G110" s="12">
        <v>46.48</v>
      </c>
      <c r="H110" s="12">
        <f t="shared" si="39"/>
        <v>44.248959999999997</v>
      </c>
      <c r="I110" s="12">
        <f t="shared" si="55"/>
        <v>2885.0321920000001</v>
      </c>
      <c r="J110" s="11">
        <v>0.20699999999999999</v>
      </c>
      <c r="K110" s="7">
        <f t="shared" si="56"/>
        <v>13.4964</v>
      </c>
      <c r="L110" s="28" t="s">
        <v>1056</v>
      </c>
      <c r="M110" s="29">
        <v>87.43</v>
      </c>
      <c r="N110" s="48">
        <f t="shared" si="42"/>
        <v>63.911330000000007</v>
      </c>
      <c r="O110" s="48">
        <f t="shared" si="43"/>
        <v>13.22964531</v>
      </c>
      <c r="P110" s="48">
        <f t="shared" si="44"/>
        <v>862.5728742120001</v>
      </c>
      <c r="Q110" s="48">
        <f t="shared" si="45"/>
        <v>3747.6050662120001</v>
      </c>
      <c r="R110" s="41">
        <f t="shared" si="46"/>
        <v>5259.550444409324</v>
      </c>
    </row>
    <row r="111" spans="2:19" x14ac:dyDescent="0.2">
      <c r="B111" s="61">
        <f>IF(F111&lt;&gt;"",1+MAX($B$21:B110),"")</f>
        <v>52</v>
      </c>
      <c r="C111" s="195"/>
      <c r="D111" s="73" t="s">
        <v>259</v>
      </c>
      <c r="E111" s="14" t="s">
        <v>74</v>
      </c>
      <c r="F111" s="19">
        <v>13.49</v>
      </c>
      <c r="G111" s="12">
        <v>18.100000000000001</v>
      </c>
      <c r="H111" s="12">
        <f t="shared" si="39"/>
        <v>17.231200000000001</v>
      </c>
      <c r="I111" s="12">
        <f t="shared" si="55"/>
        <v>232.44888800000001</v>
      </c>
      <c r="J111" s="11">
        <v>9.4E-2</v>
      </c>
      <c r="K111" s="7">
        <f t="shared" si="56"/>
        <v>1.26806</v>
      </c>
      <c r="L111" s="28" t="s">
        <v>1056</v>
      </c>
      <c r="M111" s="29">
        <v>87.43</v>
      </c>
      <c r="N111" s="48">
        <f t="shared" si="42"/>
        <v>63.911330000000007</v>
      </c>
      <c r="O111" s="48">
        <f t="shared" si="43"/>
        <v>6.007665020000001</v>
      </c>
      <c r="P111" s="48">
        <f t="shared" si="44"/>
        <v>81.043401119800009</v>
      </c>
      <c r="Q111" s="48">
        <f t="shared" si="45"/>
        <v>313.49228911980003</v>
      </c>
      <c r="R111" s="41">
        <f t="shared" si="46"/>
        <v>440.24056060115464</v>
      </c>
    </row>
    <row r="112" spans="2:19" x14ac:dyDescent="0.2">
      <c r="B112" s="61">
        <f>IF(F112&lt;&gt;"",1+MAX($B$21:B111),"")</f>
        <v>53</v>
      </c>
      <c r="C112" s="195"/>
      <c r="D112" s="73" t="s">
        <v>260</v>
      </c>
      <c r="E112" s="14" t="s">
        <v>74</v>
      </c>
      <c r="F112" s="19">
        <v>56.26</v>
      </c>
      <c r="G112" s="12">
        <v>21.5</v>
      </c>
      <c r="H112" s="12">
        <f t="shared" si="39"/>
        <v>20.468</v>
      </c>
      <c r="I112" s="12">
        <f t="shared" si="55"/>
        <v>1151.5296799999999</v>
      </c>
      <c r="J112" s="11">
        <v>9.4E-2</v>
      </c>
      <c r="K112" s="7">
        <f t="shared" si="56"/>
        <v>5.2884399999999996</v>
      </c>
      <c r="L112" s="28" t="s">
        <v>1056</v>
      </c>
      <c r="M112" s="29">
        <v>87.43</v>
      </c>
      <c r="N112" s="48">
        <f t="shared" si="42"/>
        <v>63.911330000000007</v>
      </c>
      <c r="O112" s="48">
        <f t="shared" si="43"/>
        <v>6.007665020000001</v>
      </c>
      <c r="P112" s="48">
        <f t="shared" si="44"/>
        <v>337.99123402520007</v>
      </c>
      <c r="Q112" s="48">
        <f t="shared" si="45"/>
        <v>1489.5209140252</v>
      </c>
      <c r="R112" s="41">
        <f t="shared" si="46"/>
        <v>2090.3095361059604</v>
      </c>
    </row>
    <row r="113" spans="2:18" x14ac:dyDescent="0.2">
      <c r="B113" s="61">
        <f>IF(F113&lt;&gt;"",1+MAX($B$21:B112),"")</f>
        <v>54</v>
      </c>
      <c r="C113" s="195"/>
      <c r="D113" s="73" t="s">
        <v>261</v>
      </c>
      <c r="E113" s="14" t="s">
        <v>74</v>
      </c>
      <c r="F113" s="19">
        <v>11.88</v>
      </c>
      <c r="G113" s="12">
        <v>40</v>
      </c>
      <c r="H113" s="12">
        <f t="shared" si="39"/>
        <v>38.08</v>
      </c>
      <c r="I113" s="12">
        <f t="shared" si="55"/>
        <v>452.3904</v>
      </c>
      <c r="J113" s="11">
        <v>9.4E-2</v>
      </c>
      <c r="K113" s="7">
        <f t="shared" si="56"/>
        <v>1.1167200000000002</v>
      </c>
      <c r="L113" s="28" t="s">
        <v>1056</v>
      </c>
      <c r="M113" s="29">
        <v>87.43</v>
      </c>
      <c r="N113" s="48">
        <f t="shared" si="42"/>
        <v>63.911330000000007</v>
      </c>
      <c r="O113" s="48">
        <f t="shared" si="43"/>
        <v>6.007665020000001</v>
      </c>
      <c r="P113" s="48">
        <f t="shared" si="44"/>
        <v>71.371060437600022</v>
      </c>
      <c r="Q113" s="48">
        <f t="shared" si="45"/>
        <v>523.76146043760002</v>
      </c>
      <c r="R113" s="41">
        <f t="shared" si="46"/>
        <v>733.56445780445517</v>
      </c>
    </row>
    <row r="114" spans="2:18" x14ac:dyDescent="0.2">
      <c r="B114" s="61">
        <f>IF(F114&lt;&gt;"",1+MAX($B$21:B113),"")</f>
        <v>55</v>
      </c>
      <c r="C114" s="195"/>
      <c r="D114" s="73" t="s">
        <v>262</v>
      </c>
      <c r="E114" s="14" t="s">
        <v>74</v>
      </c>
      <c r="F114" s="19">
        <v>74.69</v>
      </c>
      <c r="G114" s="12">
        <v>25.2</v>
      </c>
      <c r="H114" s="48">
        <f t="shared" si="39"/>
        <v>23.990399999999998</v>
      </c>
      <c r="I114" s="48">
        <f t="shared" si="40"/>
        <v>1791.8429759999997</v>
      </c>
      <c r="J114" s="11">
        <v>6.4000000000000001E-2</v>
      </c>
      <c r="K114" s="7">
        <f t="shared" si="56"/>
        <v>4.7801599999999995</v>
      </c>
      <c r="L114" s="28" t="s">
        <v>1056</v>
      </c>
      <c r="M114" s="29">
        <v>87.43</v>
      </c>
      <c r="N114" s="48">
        <f t="shared" si="42"/>
        <v>63.911330000000007</v>
      </c>
      <c r="O114" s="48">
        <f t="shared" si="43"/>
        <v>4.0903251200000001</v>
      </c>
      <c r="P114" s="48">
        <f t="shared" si="44"/>
        <v>305.50638321280002</v>
      </c>
      <c r="Q114" s="48">
        <f t="shared" si="45"/>
        <v>2097.3493592127998</v>
      </c>
      <c r="R114" s="41">
        <f t="shared" si="46"/>
        <v>2938.0871405310654</v>
      </c>
    </row>
    <row r="115" spans="2:18" x14ac:dyDescent="0.2">
      <c r="B115" s="61">
        <f>IF(F115&lt;&gt;"",1+MAX($B$21:B114),"")</f>
        <v>56</v>
      </c>
      <c r="C115" s="195"/>
      <c r="D115" s="73" t="s">
        <v>263</v>
      </c>
      <c r="E115" s="14" t="s">
        <v>74</v>
      </c>
      <c r="F115" s="19">
        <v>14.98</v>
      </c>
      <c r="G115" s="12">
        <v>40</v>
      </c>
      <c r="H115" s="12">
        <f t="shared" si="39"/>
        <v>38.08</v>
      </c>
      <c r="I115" s="12">
        <f t="shared" si="40"/>
        <v>570.4384</v>
      </c>
      <c r="J115" s="11">
        <v>6.4000000000000001E-2</v>
      </c>
      <c r="K115" s="7">
        <f t="shared" si="56"/>
        <v>0.95872000000000002</v>
      </c>
      <c r="L115" s="28" t="s">
        <v>1056</v>
      </c>
      <c r="M115" s="29">
        <v>87.43</v>
      </c>
      <c r="N115" s="48">
        <f t="shared" si="42"/>
        <v>63.911330000000007</v>
      </c>
      <c r="O115" s="48">
        <f t="shared" si="43"/>
        <v>4.0903251200000001</v>
      </c>
      <c r="P115" s="48">
        <f t="shared" si="44"/>
        <v>61.273070297600007</v>
      </c>
      <c r="Q115" s="48">
        <f t="shared" si="45"/>
        <v>631.71147029760004</v>
      </c>
      <c r="R115" s="41">
        <f t="shared" si="46"/>
        <v>883.9968530746753</v>
      </c>
    </row>
    <row r="116" spans="2:18" x14ac:dyDescent="0.2">
      <c r="B116" s="61">
        <f>IF(F116&lt;&gt;"",1+MAX($B$21:B115),"")</f>
        <v>57</v>
      </c>
      <c r="C116" s="195"/>
      <c r="D116" s="73" t="s">
        <v>264</v>
      </c>
      <c r="E116" s="14" t="s">
        <v>74</v>
      </c>
      <c r="F116" s="19">
        <v>19.53</v>
      </c>
      <c r="G116" s="12">
        <v>47</v>
      </c>
      <c r="H116" s="12">
        <f t="shared" si="39"/>
        <v>44.744</v>
      </c>
      <c r="I116" s="12">
        <f t="shared" si="40"/>
        <v>873.85032000000001</v>
      </c>
      <c r="J116" s="11">
        <v>5.7000000000000002E-2</v>
      </c>
      <c r="K116" s="7">
        <f t="shared" si="56"/>
        <v>1.11321</v>
      </c>
      <c r="L116" s="28" t="s">
        <v>1056</v>
      </c>
      <c r="M116" s="29">
        <v>87.43</v>
      </c>
      <c r="N116" s="48">
        <f t="shared" si="42"/>
        <v>63.911330000000007</v>
      </c>
      <c r="O116" s="48">
        <f t="shared" si="43"/>
        <v>3.6429458100000005</v>
      </c>
      <c r="P116" s="48">
        <f t="shared" si="44"/>
        <v>71.14673166930001</v>
      </c>
      <c r="Q116" s="48">
        <f t="shared" si="45"/>
        <v>944.99705166930005</v>
      </c>
      <c r="R116" s="41">
        <f t="shared" si="46"/>
        <v>1321.7709729400913</v>
      </c>
    </row>
    <row r="117" spans="2:18" x14ac:dyDescent="0.2">
      <c r="B117" s="61">
        <f>IF(F117&lt;&gt;"",1+MAX($B$21:B116),"")</f>
        <v>58</v>
      </c>
      <c r="C117" s="195"/>
      <c r="D117" s="73" t="s">
        <v>265</v>
      </c>
      <c r="E117" s="14" t="s">
        <v>74</v>
      </c>
      <c r="F117" s="19">
        <v>20.079999999999998</v>
      </c>
      <c r="G117" s="12">
        <v>54.5</v>
      </c>
      <c r="H117" s="12">
        <f t="shared" si="39"/>
        <v>51.884</v>
      </c>
      <c r="I117" s="12">
        <f t="shared" si="40"/>
        <v>1041.8307199999999</v>
      </c>
      <c r="J117" s="11">
        <v>6.2E-2</v>
      </c>
      <c r="K117" s="7">
        <f t="shared" si="56"/>
        <v>1.2449599999999998</v>
      </c>
      <c r="L117" s="28" t="s">
        <v>1056</v>
      </c>
      <c r="M117" s="29">
        <v>87.43</v>
      </c>
      <c r="N117" s="48">
        <f t="shared" si="42"/>
        <v>63.911330000000007</v>
      </c>
      <c r="O117" s="48">
        <f t="shared" si="43"/>
        <v>3.9625024600000005</v>
      </c>
      <c r="P117" s="48">
        <f t="shared" si="44"/>
        <v>79.567049396800002</v>
      </c>
      <c r="Q117" s="48">
        <f t="shared" si="45"/>
        <v>1121.3977693968</v>
      </c>
      <c r="R117" s="41">
        <f t="shared" si="46"/>
        <v>1568.3545968972337</v>
      </c>
    </row>
    <row r="118" spans="2:18" x14ac:dyDescent="0.2">
      <c r="B118" s="61">
        <f>IF(F118&lt;&gt;"",1+MAX($B$21:B117),"")</f>
        <v>59</v>
      </c>
      <c r="C118" s="195"/>
      <c r="D118" s="73" t="s">
        <v>266</v>
      </c>
      <c r="E118" s="14" t="s">
        <v>74</v>
      </c>
      <c r="F118" s="19">
        <v>20.07</v>
      </c>
      <c r="G118" s="12">
        <v>47</v>
      </c>
      <c r="H118" s="12">
        <f t="shared" si="39"/>
        <v>44.744</v>
      </c>
      <c r="I118" s="12">
        <f t="shared" si="40"/>
        <v>898.01207999999997</v>
      </c>
      <c r="J118" s="11">
        <v>5.6000000000000001E-2</v>
      </c>
      <c r="K118" s="7">
        <f t="shared" si="56"/>
        <v>1.12392</v>
      </c>
      <c r="L118" s="28" t="s">
        <v>1056</v>
      </c>
      <c r="M118" s="29">
        <v>87.43</v>
      </c>
      <c r="N118" s="48">
        <f t="shared" si="42"/>
        <v>63.911330000000007</v>
      </c>
      <c r="O118" s="48">
        <f t="shared" si="43"/>
        <v>3.5790344800000002</v>
      </c>
      <c r="P118" s="48">
        <f t="shared" si="44"/>
        <v>71.831222013600012</v>
      </c>
      <c r="Q118" s="48">
        <f t="shared" si="45"/>
        <v>969.84330201360001</v>
      </c>
      <c r="R118" s="41">
        <f t="shared" si="46"/>
        <v>1356.4872223254072</v>
      </c>
    </row>
    <row r="119" spans="2:18" x14ac:dyDescent="0.2">
      <c r="B119" s="61" t="str">
        <f>IF(F119&lt;&gt;"",1+MAX($B$21:B118),"")</f>
        <v/>
      </c>
      <c r="C119" s="67"/>
      <c r="D119" s="73"/>
      <c r="E119" s="14"/>
      <c r="F119" s="19"/>
      <c r="G119" s="48"/>
      <c r="H119" s="48">
        <f t="shared" si="39"/>
        <v>0</v>
      </c>
      <c r="I119" s="48">
        <f t="shared" si="40"/>
        <v>0</v>
      </c>
      <c r="J119" s="49"/>
      <c r="K119" s="50">
        <f t="shared" si="41"/>
        <v>0</v>
      </c>
      <c r="L119" s="50"/>
      <c r="M119" s="48"/>
      <c r="N119" s="48">
        <f t="shared" si="42"/>
        <v>0</v>
      </c>
      <c r="O119" s="48">
        <f t="shared" si="43"/>
        <v>0</v>
      </c>
      <c r="P119" s="48">
        <f t="shared" si="44"/>
        <v>0</v>
      </c>
      <c r="Q119" s="48">
        <f t="shared" si="45"/>
        <v>0</v>
      </c>
      <c r="R119" s="41">
        <f t="shared" si="46"/>
        <v>0</v>
      </c>
    </row>
    <row r="120" spans="2:18" x14ac:dyDescent="0.2">
      <c r="B120" s="62" t="str">
        <f>IF(F120&lt;&gt;"",1+MAX($B$21:B119),"")</f>
        <v/>
      </c>
      <c r="C120" s="68"/>
      <c r="D120" s="74" t="s">
        <v>268</v>
      </c>
      <c r="E120" s="14"/>
      <c r="F120" s="19"/>
      <c r="G120" s="48"/>
      <c r="H120" s="48">
        <f t="shared" si="39"/>
        <v>0</v>
      </c>
      <c r="I120" s="48">
        <f t="shared" si="40"/>
        <v>0</v>
      </c>
      <c r="J120" s="49"/>
      <c r="K120" s="50">
        <f t="shared" si="41"/>
        <v>0</v>
      </c>
      <c r="L120" s="50"/>
      <c r="M120" s="48"/>
      <c r="N120" s="48">
        <f t="shared" si="42"/>
        <v>0</v>
      </c>
      <c r="O120" s="48">
        <f t="shared" si="43"/>
        <v>0</v>
      </c>
      <c r="P120" s="48">
        <f t="shared" si="44"/>
        <v>0</v>
      </c>
      <c r="Q120" s="48">
        <f t="shared" si="45"/>
        <v>0</v>
      </c>
      <c r="R120" s="41">
        <f t="shared" si="46"/>
        <v>0</v>
      </c>
    </row>
    <row r="121" spans="2:18" x14ac:dyDescent="0.2">
      <c r="B121" s="61">
        <f>IF(F121&lt;&gt;"",1+MAX($B$21:B120),"")</f>
        <v>60</v>
      </c>
      <c r="C121" s="198" t="s">
        <v>294</v>
      </c>
      <c r="D121" s="73" t="s">
        <v>269</v>
      </c>
      <c r="E121" s="14" t="s">
        <v>74</v>
      </c>
      <c r="F121" s="19">
        <v>53.35</v>
      </c>
      <c r="G121" s="12">
        <v>6.43</v>
      </c>
      <c r="H121" s="12">
        <f t="shared" si="39"/>
        <v>6.1213599999999992</v>
      </c>
      <c r="I121" s="12">
        <f t="shared" si="40"/>
        <v>326.57455599999997</v>
      </c>
      <c r="J121" s="11">
        <v>0.32200000000000001</v>
      </c>
      <c r="K121" s="7">
        <f t="shared" si="41"/>
        <v>17.178699999999999</v>
      </c>
      <c r="L121" s="28" t="s">
        <v>1057</v>
      </c>
      <c r="M121" s="29">
        <v>64.38</v>
      </c>
      <c r="N121" s="48">
        <f t="shared" si="42"/>
        <v>47.061779999999999</v>
      </c>
      <c r="O121" s="48">
        <f t="shared" si="43"/>
        <v>15.153893160000001</v>
      </c>
      <c r="P121" s="48">
        <f t="shared" si="44"/>
        <v>808.4602000860001</v>
      </c>
      <c r="Q121" s="48">
        <f t="shared" si="45"/>
        <v>1135.034756086</v>
      </c>
      <c r="R121" s="41">
        <f t="shared" si="46"/>
        <v>1609.7014155211223</v>
      </c>
    </row>
    <row r="122" spans="2:18" x14ac:dyDescent="0.2">
      <c r="B122" s="61">
        <f>IF(F122&lt;&gt;"",1+MAX($B$21:B121),"")</f>
        <v>61</v>
      </c>
      <c r="C122" s="196"/>
      <c r="D122" s="73" t="s">
        <v>270</v>
      </c>
      <c r="E122" s="14" t="s">
        <v>74</v>
      </c>
      <c r="F122" s="19">
        <v>428.46</v>
      </c>
      <c r="G122" s="12">
        <v>9.41</v>
      </c>
      <c r="H122" s="12">
        <f t="shared" si="39"/>
        <v>8.9583200000000005</v>
      </c>
      <c r="I122" s="12">
        <f t="shared" si="40"/>
        <v>3838.2817872000001</v>
      </c>
      <c r="J122" s="11">
        <v>0.47</v>
      </c>
      <c r="K122" s="7">
        <f t="shared" si="41"/>
        <v>201.37619999999998</v>
      </c>
      <c r="L122" s="28" t="s">
        <v>1057</v>
      </c>
      <c r="M122" s="29">
        <v>64.38</v>
      </c>
      <c r="N122" s="48">
        <f t="shared" si="42"/>
        <v>47.061779999999999</v>
      </c>
      <c r="O122" s="48">
        <f t="shared" si="43"/>
        <v>22.119036599999998</v>
      </c>
      <c r="P122" s="48">
        <f t="shared" si="44"/>
        <v>9477.1224216359988</v>
      </c>
      <c r="Q122" s="48">
        <f t="shared" si="45"/>
        <v>13315.404208835998</v>
      </c>
      <c r="R122" s="41">
        <f t="shared" si="46"/>
        <v>18883.630383320648</v>
      </c>
    </row>
    <row r="123" spans="2:18" x14ac:dyDescent="0.2">
      <c r="B123" s="61">
        <f>IF(F123&lt;&gt;"",1+MAX($B$21:B122),"")</f>
        <v>62</v>
      </c>
      <c r="C123" s="197"/>
      <c r="D123" s="73" t="s">
        <v>271</v>
      </c>
      <c r="E123" s="14" t="s">
        <v>74</v>
      </c>
      <c r="F123" s="19">
        <v>24.51</v>
      </c>
      <c r="G123" s="12">
        <v>11.04</v>
      </c>
      <c r="H123" s="12">
        <f t="shared" si="39"/>
        <v>10.510079999999999</v>
      </c>
      <c r="I123" s="12">
        <f t="shared" si="40"/>
        <v>257.6020608</v>
      </c>
      <c r="J123" s="11">
        <v>0.82799999999999996</v>
      </c>
      <c r="K123" s="7">
        <f t="shared" si="41"/>
        <v>20.294280000000001</v>
      </c>
      <c r="L123" s="28" t="s">
        <v>1057</v>
      </c>
      <c r="M123" s="29">
        <v>64.38</v>
      </c>
      <c r="N123" s="48">
        <f t="shared" si="42"/>
        <v>47.061779999999999</v>
      </c>
      <c r="O123" s="48">
        <f t="shared" si="43"/>
        <v>38.967153839999995</v>
      </c>
      <c r="P123" s="48">
        <f t="shared" si="44"/>
        <v>955.08494061839997</v>
      </c>
      <c r="Q123" s="48">
        <f t="shared" si="45"/>
        <v>1212.6870014184001</v>
      </c>
      <c r="R123" s="41">
        <f t="shared" si="46"/>
        <v>1722.6217279635771</v>
      </c>
    </row>
    <row r="124" spans="2:18" x14ac:dyDescent="0.2">
      <c r="B124" s="61" t="str">
        <f>IF(F124&lt;&gt;"",1+MAX($B$21:B123),"")</f>
        <v/>
      </c>
      <c r="C124" s="67"/>
      <c r="D124" s="73"/>
      <c r="E124" s="14"/>
      <c r="F124" s="19"/>
      <c r="G124" s="48"/>
      <c r="H124" s="48">
        <f t="shared" si="39"/>
        <v>0</v>
      </c>
      <c r="I124" s="48">
        <f t="shared" si="40"/>
        <v>0</v>
      </c>
      <c r="J124" s="49"/>
      <c r="K124" s="50">
        <f t="shared" si="41"/>
        <v>0</v>
      </c>
      <c r="L124" s="50"/>
      <c r="M124" s="48"/>
      <c r="N124" s="48">
        <f t="shared" si="42"/>
        <v>0</v>
      </c>
      <c r="O124" s="48">
        <f t="shared" si="43"/>
        <v>0</v>
      </c>
      <c r="P124" s="48">
        <f t="shared" si="44"/>
        <v>0</v>
      </c>
      <c r="Q124" s="48">
        <f t="shared" si="45"/>
        <v>0</v>
      </c>
      <c r="R124" s="41">
        <f t="shared" si="46"/>
        <v>0</v>
      </c>
    </row>
    <row r="125" spans="2:18" x14ac:dyDescent="0.2">
      <c r="B125" s="62" t="str">
        <f>IF(F125&lt;&gt;"",1+MAX($B$21:B124),"")</f>
        <v/>
      </c>
      <c r="C125" s="68"/>
      <c r="D125" s="74" t="s">
        <v>272</v>
      </c>
      <c r="E125" s="14"/>
      <c r="F125" s="19"/>
      <c r="G125" s="48"/>
      <c r="H125" s="48">
        <f t="shared" si="39"/>
        <v>0</v>
      </c>
      <c r="I125" s="48">
        <f t="shared" si="40"/>
        <v>0</v>
      </c>
      <c r="J125" s="49"/>
      <c r="K125" s="50">
        <f t="shared" si="41"/>
        <v>0</v>
      </c>
      <c r="L125" s="50"/>
      <c r="M125" s="48"/>
      <c r="N125" s="48">
        <f t="shared" si="42"/>
        <v>0</v>
      </c>
      <c r="O125" s="48">
        <f t="shared" si="43"/>
        <v>0</v>
      </c>
      <c r="P125" s="48">
        <f t="shared" si="44"/>
        <v>0</v>
      </c>
      <c r="Q125" s="48">
        <f t="shared" si="45"/>
        <v>0</v>
      </c>
      <c r="R125" s="41">
        <f t="shared" si="46"/>
        <v>0</v>
      </c>
    </row>
    <row r="126" spans="2:18" x14ac:dyDescent="0.2">
      <c r="B126" s="61">
        <f>IF(F126&lt;&gt;"",1+MAX($B$21:B125),"")</f>
        <v>63</v>
      </c>
      <c r="C126" s="195" t="s">
        <v>293</v>
      </c>
      <c r="D126" s="73" t="s">
        <v>273</v>
      </c>
      <c r="E126" s="14" t="s">
        <v>74</v>
      </c>
      <c r="F126" s="19">
        <v>28.62</v>
      </c>
      <c r="G126" s="12">
        <v>21.98</v>
      </c>
      <c r="H126" s="12">
        <f t="shared" si="39"/>
        <v>20.924959999999999</v>
      </c>
      <c r="I126" s="12">
        <f t="shared" si="40"/>
        <v>598.87235520000002</v>
      </c>
      <c r="J126" s="11">
        <v>9.8000000000000004E-2</v>
      </c>
      <c r="K126" s="7">
        <f t="shared" si="41"/>
        <v>2.8047600000000004</v>
      </c>
      <c r="L126" s="28" t="s">
        <v>1056</v>
      </c>
      <c r="M126" s="29">
        <v>87.43</v>
      </c>
      <c r="N126" s="48">
        <f t="shared" si="42"/>
        <v>63.911330000000007</v>
      </c>
      <c r="O126" s="48">
        <f t="shared" ref="O126:O127" si="57">J126*N126</f>
        <v>6.2633103400000012</v>
      </c>
      <c r="P126" s="48">
        <f t="shared" ref="P126:P127" si="58">F126*O126</f>
        <v>179.25594193080005</v>
      </c>
      <c r="Q126" s="48">
        <f t="shared" ref="Q126:Q127" si="59">I126+P126</f>
        <v>778.12829713080009</v>
      </c>
      <c r="R126" s="41">
        <f t="shared" ref="R126:R127" si="60">Q126+(I126*$Q$7)+(P126*$Q$8)+(Q126*$Q$9)+(Q126*$Q$11)+($Q$10*(Q126+(I126*$Q$7)+(P126*$Q$8)+(Q126*$Q$9)))</f>
        <v>1092.0635859365318</v>
      </c>
    </row>
    <row r="127" spans="2:18" x14ac:dyDescent="0.2">
      <c r="B127" s="61">
        <f>IF(F127&lt;&gt;"",1+MAX($B$21:B126),"")</f>
        <v>64</v>
      </c>
      <c r="C127" s="195"/>
      <c r="D127" s="73" t="s">
        <v>274</v>
      </c>
      <c r="E127" s="14" t="s">
        <v>74</v>
      </c>
      <c r="F127" s="19">
        <v>59.56</v>
      </c>
      <c r="G127" s="12">
        <v>34.24</v>
      </c>
      <c r="H127" s="12">
        <f t="shared" si="39"/>
        <v>32.59648</v>
      </c>
      <c r="I127" s="12">
        <f t="shared" si="40"/>
        <v>1941.4463488000001</v>
      </c>
      <c r="J127" s="11">
        <v>0.152</v>
      </c>
      <c r="K127" s="7">
        <f t="shared" si="41"/>
        <v>9.0531199999999998</v>
      </c>
      <c r="L127" s="28" t="s">
        <v>1056</v>
      </c>
      <c r="M127" s="29">
        <v>87.43</v>
      </c>
      <c r="N127" s="48">
        <f t="shared" si="42"/>
        <v>63.911330000000007</v>
      </c>
      <c r="O127" s="48">
        <f t="shared" si="57"/>
        <v>9.7145221600000013</v>
      </c>
      <c r="P127" s="48">
        <f t="shared" si="58"/>
        <v>578.59693984960006</v>
      </c>
      <c r="Q127" s="48">
        <f t="shared" si="59"/>
        <v>2520.0432886496001</v>
      </c>
      <c r="R127" s="41">
        <f t="shared" si="60"/>
        <v>3536.6935146296992</v>
      </c>
    </row>
    <row r="128" spans="2:18" x14ac:dyDescent="0.2">
      <c r="B128" s="61">
        <f>IF(F128&lt;&gt;"",1+MAX($B$21:B127),"")</f>
        <v>65</v>
      </c>
      <c r="C128" s="195"/>
      <c r="D128" s="73" t="s">
        <v>276</v>
      </c>
      <c r="E128" s="14" t="s">
        <v>74</v>
      </c>
      <c r="F128" s="19">
        <f>35.5*2+121.9*2</f>
        <v>314.8</v>
      </c>
      <c r="G128" s="12">
        <v>3.94</v>
      </c>
      <c r="H128" s="12">
        <f t="shared" si="39"/>
        <v>3.75088</v>
      </c>
      <c r="I128" s="12">
        <f t="shared" si="40"/>
        <v>1180.777024</v>
      </c>
      <c r="J128" s="11">
        <v>0.373</v>
      </c>
      <c r="K128" s="7">
        <f t="shared" si="41"/>
        <v>117.4204</v>
      </c>
      <c r="L128" s="28" t="s">
        <v>1057</v>
      </c>
      <c r="M128" s="29">
        <v>64.38</v>
      </c>
      <c r="N128" s="48">
        <f t="shared" si="42"/>
        <v>47.061779999999999</v>
      </c>
      <c r="O128" s="48">
        <f t="shared" si="43"/>
        <v>17.55404394</v>
      </c>
      <c r="P128" s="48">
        <f t="shared" si="44"/>
        <v>5526.0130323120002</v>
      </c>
      <c r="Q128" s="48">
        <f t="shared" si="45"/>
        <v>6706.7900563120002</v>
      </c>
      <c r="R128" s="41">
        <f t="shared" si="46"/>
        <v>9534.4576334228241</v>
      </c>
    </row>
    <row r="129" spans="2:18" x14ac:dyDescent="0.2">
      <c r="B129" s="61">
        <f>IF(F129&lt;&gt;"",1+MAX($B$21:B128),"")</f>
        <v>66</v>
      </c>
      <c r="C129" s="195"/>
      <c r="D129" s="73" t="s">
        <v>275</v>
      </c>
      <c r="E129" s="14" t="s">
        <v>74</v>
      </c>
      <c r="F129" s="19">
        <v>19.12</v>
      </c>
      <c r="G129" s="12">
        <v>4.7</v>
      </c>
      <c r="H129" s="12">
        <f t="shared" si="39"/>
        <v>4.4744000000000002</v>
      </c>
      <c r="I129" s="12">
        <f t="shared" si="40"/>
        <v>85.550528000000014</v>
      </c>
      <c r="J129" s="11">
        <v>0.44600000000000001</v>
      </c>
      <c r="K129" s="7">
        <f t="shared" si="41"/>
        <v>8.5275200000000009</v>
      </c>
      <c r="L129" s="28" t="s">
        <v>1057</v>
      </c>
      <c r="M129" s="29">
        <v>64.38</v>
      </c>
      <c r="N129" s="48">
        <f t="shared" si="42"/>
        <v>47.061779999999999</v>
      </c>
      <c r="O129" s="48">
        <f t="shared" si="43"/>
        <v>20.989553879999999</v>
      </c>
      <c r="P129" s="48">
        <f t="shared" si="44"/>
        <v>401.32027018560001</v>
      </c>
      <c r="Q129" s="48">
        <f t="shared" si="45"/>
        <v>486.87079818560005</v>
      </c>
      <c r="R129" s="41">
        <f t="shared" si="46"/>
        <v>692.14678285405125</v>
      </c>
    </row>
    <row r="130" spans="2:18" x14ac:dyDescent="0.2">
      <c r="B130" s="61" t="str">
        <f>IF(F130&lt;&gt;"",1+MAX($B$21:B129),"")</f>
        <v/>
      </c>
      <c r="C130" s="67"/>
      <c r="D130" s="73"/>
      <c r="E130" s="14"/>
      <c r="F130" s="19"/>
      <c r="G130" s="48"/>
      <c r="H130" s="48">
        <f t="shared" si="39"/>
        <v>0</v>
      </c>
      <c r="I130" s="48">
        <f t="shared" si="40"/>
        <v>0</v>
      </c>
      <c r="J130" s="49"/>
      <c r="K130" s="50">
        <f t="shared" si="41"/>
        <v>0</v>
      </c>
      <c r="L130" s="50"/>
      <c r="M130" s="48"/>
      <c r="N130" s="48">
        <f t="shared" si="42"/>
        <v>0</v>
      </c>
      <c r="O130" s="48">
        <f t="shared" si="43"/>
        <v>0</v>
      </c>
      <c r="P130" s="48">
        <f t="shared" si="44"/>
        <v>0</v>
      </c>
      <c r="Q130" s="48">
        <f t="shared" si="45"/>
        <v>0</v>
      </c>
      <c r="R130" s="41">
        <f t="shared" si="46"/>
        <v>0</v>
      </c>
    </row>
    <row r="131" spans="2:18" x14ac:dyDescent="0.2">
      <c r="B131" s="62" t="str">
        <f>IF(F131&lt;&gt;"",1+MAX($B$21:B130),"")</f>
        <v/>
      </c>
      <c r="C131" s="68"/>
      <c r="D131" s="74" t="s">
        <v>277</v>
      </c>
      <c r="E131" s="14"/>
      <c r="F131" s="19"/>
      <c r="G131" s="48"/>
      <c r="H131" s="48">
        <f t="shared" si="39"/>
        <v>0</v>
      </c>
      <c r="I131" s="48">
        <f t="shared" si="40"/>
        <v>0</v>
      </c>
      <c r="J131" s="49"/>
      <c r="K131" s="50">
        <f t="shared" si="41"/>
        <v>0</v>
      </c>
      <c r="L131" s="50"/>
      <c r="M131" s="48"/>
      <c r="N131" s="48">
        <f t="shared" si="42"/>
        <v>0</v>
      </c>
      <c r="O131" s="48">
        <f t="shared" si="43"/>
        <v>0</v>
      </c>
      <c r="P131" s="48">
        <f t="shared" si="44"/>
        <v>0</v>
      </c>
      <c r="Q131" s="48">
        <f t="shared" si="45"/>
        <v>0</v>
      </c>
      <c r="R131" s="41">
        <f t="shared" si="46"/>
        <v>0</v>
      </c>
    </row>
    <row r="132" spans="2:18" x14ac:dyDescent="0.2">
      <c r="B132" s="61">
        <f>IF(F132&lt;&gt;"",1+MAX($B$21:B131),"")</f>
        <v>67</v>
      </c>
      <c r="C132" s="195" t="s">
        <v>291</v>
      </c>
      <c r="D132" s="73" t="s">
        <v>280</v>
      </c>
      <c r="E132" s="14" t="s">
        <v>74</v>
      </c>
      <c r="F132" s="19">
        <f>5.67+18*4</f>
        <v>77.67</v>
      </c>
      <c r="G132" s="12">
        <v>2.2999999999999998</v>
      </c>
      <c r="H132" s="12">
        <f t="shared" si="39"/>
        <v>2.1895999999999995</v>
      </c>
      <c r="I132" s="12">
        <f t="shared" si="40"/>
        <v>170.06623199999996</v>
      </c>
      <c r="J132" s="11">
        <v>0.218</v>
      </c>
      <c r="K132" s="7">
        <f t="shared" si="41"/>
        <v>16.93206</v>
      </c>
      <c r="L132" s="28" t="s">
        <v>1057</v>
      </c>
      <c r="M132" s="29">
        <v>64.38</v>
      </c>
      <c r="N132" s="48">
        <f t="shared" si="42"/>
        <v>47.061779999999999</v>
      </c>
      <c r="O132" s="48">
        <f t="shared" si="43"/>
        <v>10.25946804</v>
      </c>
      <c r="P132" s="48">
        <f t="shared" si="44"/>
        <v>796.85288266680004</v>
      </c>
      <c r="Q132" s="48">
        <f t="shared" si="45"/>
        <v>966.91911466679994</v>
      </c>
      <c r="R132" s="41">
        <f t="shared" si="46"/>
        <v>1374.5895499303233</v>
      </c>
    </row>
    <row r="133" spans="2:18" x14ac:dyDescent="0.2">
      <c r="B133" s="61">
        <f>IF(F133&lt;&gt;"",1+MAX($B$21:B132),"")</f>
        <v>68</v>
      </c>
      <c r="C133" s="195"/>
      <c r="D133" s="73" t="s">
        <v>278</v>
      </c>
      <c r="E133" s="14" t="s">
        <v>74</v>
      </c>
      <c r="F133" s="19">
        <v>99.37</v>
      </c>
      <c r="G133" s="12">
        <v>3.56</v>
      </c>
      <c r="H133" s="12">
        <f t="shared" si="39"/>
        <v>3.3891199999999997</v>
      </c>
      <c r="I133" s="12">
        <f t="shared" si="40"/>
        <v>336.77685439999999</v>
      </c>
      <c r="J133" s="11">
        <v>0.33800000000000002</v>
      </c>
      <c r="K133" s="7">
        <f t="shared" si="41"/>
        <v>33.587060000000001</v>
      </c>
      <c r="L133" s="28" t="s">
        <v>1057</v>
      </c>
      <c r="M133" s="29">
        <v>64.38</v>
      </c>
      <c r="N133" s="48">
        <f t="shared" si="42"/>
        <v>47.061779999999999</v>
      </c>
      <c r="O133" s="48">
        <f t="shared" si="43"/>
        <v>15.90688164</v>
      </c>
      <c r="P133" s="48">
        <f t="shared" si="44"/>
        <v>1580.6668285668002</v>
      </c>
      <c r="Q133" s="48">
        <f t="shared" si="45"/>
        <v>1917.4436829668002</v>
      </c>
      <c r="R133" s="41">
        <f t="shared" si="46"/>
        <v>2725.8867638489846</v>
      </c>
    </row>
    <row r="134" spans="2:18" x14ac:dyDescent="0.2">
      <c r="B134" s="61">
        <f>IF(F134&lt;&gt;"",1+MAX($B$21:B133),"")</f>
        <v>69</v>
      </c>
      <c r="C134" s="195"/>
      <c r="D134" s="73" t="s">
        <v>279</v>
      </c>
      <c r="E134" s="14" t="s">
        <v>74</v>
      </c>
      <c r="F134" s="19">
        <v>179.93</v>
      </c>
      <c r="G134" s="12">
        <v>5.34</v>
      </c>
      <c r="H134" s="12">
        <f t="shared" si="39"/>
        <v>5.0836799999999993</v>
      </c>
      <c r="I134" s="12">
        <f t="shared" si="40"/>
        <v>914.70654239999988</v>
      </c>
      <c r="J134" s="11">
        <v>0.31900000000000001</v>
      </c>
      <c r="K134" s="7">
        <f t="shared" si="41"/>
        <v>57.397670000000005</v>
      </c>
      <c r="L134" s="28" t="s">
        <v>1057</v>
      </c>
      <c r="M134" s="29">
        <v>64.38</v>
      </c>
      <c r="N134" s="48">
        <f t="shared" si="42"/>
        <v>47.061779999999999</v>
      </c>
      <c r="O134" s="48">
        <f t="shared" si="43"/>
        <v>15.012707819999999</v>
      </c>
      <c r="P134" s="48">
        <f t="shared" si="44"/>
        <v>2701.2365180525999</v>
      </c>
      <c r="Q134" s="48">
        <f t="shared" si="45"/>
        <v>3615.9430604525996</v>
      </c>
      <c r="R134" s="41">
        <f t="shared" si="46"/>
        <v>5131.9607270684191</v>
      </c>
    </row>
    <row r="135" spans="2:18" x14ac:dyDescent="0.2">
      <c r="B135" s="61" t="str">
        <f>IF(F135&lt;&gt;"",1+MAX($B$21:B134),"")</f>
        <v/>
      </c>
      <c r="C135" s="67"/>
      <c r="D135" s="73"/>
      <c r="E135" s="14"/>
      <c r="F135" s="19"/>
      <c r="G135" s="48"/>
      <c r="H135" s="48">
        <f t="shared" si="39"/>
        <v>0</v>
      </c>
      <c r="I135" s="48">
        <f t="shared" si="40"/>
        <v>0</v>
      </c>
      <c r="J135" s="49"/>
      <c r="K135" s="50">
        <f t="shared" si="41"/>
        <v>0</v>
      </c>
      <c r="L135" s="50"/>
      <c r="M135" s="48"/>
      <c r="N135" s="48">
        <f t="shared" si="42"/>
        <v>0</v>
      </c>
      <c r="O135" s="48">
        <f t="shared" si="43"/>
        <v>0</v>
      </c>
      <c r="P135" s="48">
        <f t="shared" si="44"/>
        <v>0</v>
      </c>
      <c r="Q135" s="48">
        <f t="shared" si="45"/>
        <v>0</v>
      </c>
      <c r="R135" s="41">
        <f t="shared" si="46"/>
        <v>0</v>
      </c>
    </row>
    <row r="136" spans="2:18" x14ac:dyDescent="0.2">
      <c r="B136" s="62" t="str">
        <f>IF(F136&lt;&gt;"",1+MAX($B$21:B135),"")</f>
        <v/>
      </c>
      <c r="C136" s="68"/>
      <c r="D136" s="74" t="s">
        <v>292</v>
      </c>
      <c r="E136" s="14"/>
      <c r="F136" s="19"/>
      <c r="G136" s="48"/>
      <c r="H136" s="48">
        <f t="shared" si="39"/>
        <v>0</v>
      </c>
      <c r="I136" s="48">
        <f t="shared" si="40"/>
        <v>0</v>
      </c>
      <c r="J136" s="49"/>
      <c r="K136" s="50">
        <f t="shared" si="41"/>
        <v>0</v>
      </c>
      <c r="L136" s="50"/>
      <c r="M136" s="48"/>
      <c r="N136" s="48">
        <f t="shared" si="42"/>
        <v>0</v>
      </c>
      <c r="O136" s="48">
        <f t="shared" si="43"/>
        <v>0</v>
      </c>
      <c r="P136" s="48">
        <f t="shared" si="44"/>
        <v>0</v>
      </c>
      <c r="Q136" s="48">
        <f t="shared" si="45"/>
        <v>0</v>
      </c>
      <c r="R136" s="41">
        <f t="shared" si="46"/>
        <v>0</v>
      </c>
    </row>
    <row r="137" spans="2:18" x14ac:dyDescent="0.2">
      <c r="B137" s="61">
        <f>IF(F137&lt;&gt;"",1+MAX($B$21:B136),"")</f>
        <v>70</v>
      </c>
      <c r="C137" s="195" t="s">
        <v>291</v>
      </c>
      <c r="D137" s="73" t="s">
        <v>281</v>
      </c>
      <c r="E137" s="14" t="s">
        <v>74</v>
      </c>
      <c r="F137" s="19">
        <v>53.96</v>
      </c>
      <c r="G137" s="12">
        <v>7.95</v>
      </c>
      <c r="H137" s="12">
        <f t="shared" si="39"/>
        <v>7.5683999999999996</v>
      </c>
      <c r="I137" s="12">
        <f t="shared" si="40"/>
        <v>408.39086399999997</v>
      </c>
      <c r="J137" s="11">
        <v>5.2999999999999999E-2</v>
      </c>
      <c r="K137" s="7">
        <f t="shared" si="41"/>
        <v>2.85988</v>
      </c>
      <c r="L137" s="28" t="s">
        <v>1060</v>
      </c>
      <c r="M137" s="29">
        <v>82.31</v>
      </c>
      <c r="N137" s="48">
        <f t="shared" si="42"/>
        <v>60.168610000000001</v>
      </c>
      <c r="O137" s="48">
        <f t="shared" si="43"/>
        <v>3.1889363299999998</v>
      </c>
      <c r="P137" s="48">
        <f t="shared" si="44"/>
        <v>172.07500436679999</v>
      </c>
      <c r="Q137" s="48">
        <f t="shared" si="45"/>
        <v>580.4658683667999</v>
      </c>
      <c r="R137" s="41">
        <f t="shared" si="46"/>
        <v>815.82803372102353</v>
      </c>
    </row>
    <row r="138" spans="2:18" x14ac:dyDescent="0.2">
      <c r="B138" s="61">
        <f>IF(F138&lt;&gt;"",1+MAX($B$21:B137),"")</f>
        <v>71</v>
      </c>
      <c r="C138" s="195"/>
      <c r="D138" s="73" t="s">
        <v>282</v>
      </c>
      <c r="E138" s="14" t="s">
        <v>74</v>
      </c>
      <c r="F138" s="19">
        <v>248.55</v>
      </c>
      <c r="G138" s="12">
        <v>11.45</v>
      </c>
      <c r="H138" s="12">
        <f t="shared" si="39"/>
        <v>10.900399999999999</v>
      </c>
      <c r="I138" s="12">
        <f t="shared" si="40"/>
        <v>2709.2944200000002</v>
      </c>
      <c r="J138" s="11">
        <v>4.3999999999999997E-2</v>
      </c>
      <c r="K138" s="7">
        <f t="shared" si="41"/>
        <v>10.936199999999999</v>
      </c>
      <c r="L138" s="28" t="s">
        <v>1060</v>
      </c>
      <c r="M138" s="29">
        <v>82.31</v>
      </c>
      <c r="N138" s="48">
        <f t="shared" si="42"/>
        <v>60.168610000000001</v>
      </c>
      <c r="O138" s="48">
        <f t="shared" si="43"/>
        <v>2.6474188399999998</v>
      </c>
      <c r="P138" s="48">
        <f t="shared" si="44"/>
        <v>658.01595268200003</v>
      </c>
      <c r="Q138" s="48">
        <f t="shared" si="45"/>
        <v>3367.310372682</v>
      </c>
      <c r="R138" s="41">
        <f t="shared" si="46"/>
        <v>4722.2474925652141</v>
      </c>
    </row>
    <row r="139" spans="2:18" x14ac:dyDescent="0.2">
      <c r="B139" s="61">
        <f>IF(F139&lt;&gt;"",1+MAX($B$21:B138),"")</f>
        <v>72</v>
      </c>
      <c r="C139" s="195"/>
      <c r="D139" s="73" t="s">
        <v>283</v>
      </c>
      <c r="E139" s="14" t="s">
        <v>74</v>
      </c>
      <c r="F139" s="19">
        <v>108.49</v>
      </c>
      <c r="G139" s="12">
        <v>8.9499999999999993</v>
      </c>
      <c r="H139" s="12">
        <f t="shared" si="39"/>
        <v>8.5203999999999986</v>
      </c>
      <c r="I139" s="12">
        <f t="shared" si="40"/>
        <v>924.37819599999978</v>
      </c>
      <c r="J139" s="11">
        <v>0.04</v>
      </c>
      <c r="K139" s="7">
        <f t="shared" si="41"/>
        <v>4.3395999999999999</v>
      </c>
      <c r="L139" s="28" t="s">
        <v>1060</v>
      </c>
      <c r="M139" s="29">
        <v>82.31</v>
      </c>
      <c r="N139" s="48">
        <f t="shared" si="42"/>
        <v>60.168610000000001</v>
      </c>
      <c r="O139" s="48">
        <f t="shared" si="43"/>
        <v>2.4067444</v>
      </c>
      <c r="P139" s="48">
        <f t="shared" si="44"/>
        <v>261.10769995599998</v>
      </c>
      <c r="Q139" s="48">
        <f t="shared" si="45"/>
        <v>1185.4858959559997</v>
      </c>
      <c r="R139" s="41">
        <f t="shared" si="46"/>
        <v>1663.4024007316118</v>
      </c>
    </row>
    <row r="140" spans="2:18" x14ac:dyDescent="0.2">
      <c r="B140" s="61" t="str">
        <f>IF(F140&lt;&gt;"",1+MAX($B$21:B139),"")</f>
        <v/>
      </c>
      <c r="C140" s="67"/>
      <c r="D140" s="73"/>
      <c r="E140" s="14"/>
      <c r="F140" s="19"/>
      <c r="G140" s="48"/>
      <c r="H140" s="48">
        <f t="shared" si="39"/>
        <v>0</v>
      </c>
      <c r="I140" s="48">
        <f t="shared" si="40"/>
        <v>0</v>
      </c>
      <c r="J140" s="49"/>
      <c r="K140" s="50">
        <f t="shared" si="41"/>
        <v>0</v>
      </c>
      <c r="L140" s="50"/>
      <c r="M140" s="48"/>
      <c r="N140" s="48">
        <f t="shared" si="42"/>
        <v>0</v>
      </c>
      <c r="O140" s="48">
        <f t="shared" si="43"/>
        <v>0</v>
      </c>
      <c r="P140" s="48">
        <f t="shared" si="44"/>
        <v>0</v>
      </c>
      <c r="Q140" s="48">
        <f t="shared" si="45"/>
        <v>0</v>
      </c>
      <c r="R140" s="41">
        <f t="shared" si="46"/>
        <v>0</v>
      </c>
    </row>
    <row r="141" spans="2:18" x14ac:dyDescent="0.2">
      <c r="B141" s="62" t="str">
        <f>IF(F141&lt;&gt;"",1+MAX($B$21:B140),"")</f>
        <v/>
      </c>
      <c r="C141" s="68"/>
      <c r="D141" s="74" t="s">
        <v>284</v>
      </c>
      <c r="E141" s="14"/>
      <c r="F141" s="19"/>
      <c r="G141" s="48"/>
      <c r="H141" s="48">
        <f t="shared" si="39"/>
        <v>0</v>
      </c>
      <c r="I141" s="48">
        <f t="shared" si="40"/>
        <v>0</v>
      </c>
      <c r="J141" s="49"/>
      <c r="K141" s="50">
        <f t="shared" si="41"/>
        <v>0</v>
      </c>
      <c r="L141" s="50"/>
      <c r="M141" s="48"/>
      <c r="N141" s="48">
        <f t="shared" si="42"/>
        <v>0</v>
      </c>
      <c r="O141" s="48">
        <f t="shared" si="43"/>
        <v>0</v>
      </c>
      <c r="P141" s="48">
        <f t="shared" si="44"/>
        <v>0</v>
      </c>
      <c r="Q141" s="48">
        <f t="shared" si="45"/>
        <v>0</v>
      </c>
      <c r="R141" s="41">
        <f t="shared" si="46"/>
        <v>0</v>
      </c>
    </row>
    <row r="142" spans="2:18" x14ac:dyDescent="0.2">
      <c r="B142" s="61">
        <f>IF(F142&lt;&gt;"",1+MAX($B$21:B141),"")</f>
        <v>73</v>
      </c>
      <c r="C142" s="67" t="s">
        <v>291</v>
      </c>
      <c r="D142" s="73" t="s">
        <v>285</v>
      </c>
      <c r="E142" s="14" t="s">
        <v>72</v>
      </c>
      <c r="F142" s="19">
        <v>2208.37</v>
      </c>
      <c r="G142" s="12">
        <v>3.85</v>
      </c>
      <c r="H142" s="12">
        <f t="shared" si="39"/>
        <v>3.6652</v>
      </c>
      <c r="I142" s="12">
        <f t="shared" si="40"/>
        <v>8094.1177239999997</v>
      </c>
      <c r="J142" s="11">
        <v>1.2E-2</v>
      </c>
      <c r="K142" s="7">
        <f t="shared" si="41"/>
        <v>26.500439999999998</v>
      </c>
      <c r="L142" s="28" t="s">
        <v>1059</v>
      </c>
      <c r="M142" s="29">
        <v>62.74</v>
      </c>
      <c r="N142" s="48">
        <f t="shared" si="42"/>
        <v>45.862940000000002</v>
      </c>
      <c r="O142" s="48">
        <f t="shared" si="43"/>
        <v>0.55035528</v>
      </c>
      <c r="P142" s="48">
        <f t="shared" si="44"/>
        <v>1215.3880896936</v>
      </c>
      <c r="Q142" s="48">
        <f t="shared" si="45"/>
        <v>9309.5058136936004</v>
      </c>
      <c r="R142" s="41">
        <f t="shared" si="46"/>
        <v>13036.984793786367</v>
      </c>
    </row>
    <row r="143" spans="2:18" x14ac:dyDescent="0.2">
      <c r="B143" s="61" t="str">
        <f>IF(F143&lt;&gt;"",1+MAX($B$21:B142),"")</f>
        <v/>
      </c>
      <c r="C143" s="67"/>
      <c r="D143" s="73"/>
      <c r="E143" s="14"/>
      <c r="F143" s="19"/>
      <c r="G143" s="48"/>
      <c r="H143" s="48">
        <f t="shared" si="39"/>
        <v>0</v>
      </c>
      <c r="I143" s="48">
        <f t="shared" si="40"/>
        <v>0</v>
      </c>
      <c r="J143" s="49"/>
      <c r="K143" s="50">
        <f t="shared" si="41"/>
        <v>0</v>
      </c>
      <c r="L143" s="50"/>
      <c r="M143" s="48"/>
      <c r="N143" s="48">
        <f t="shared" si="42"/>
        <v>0</v>
      </c>
      <c r="O143" s="48">
        <f t="shared" si="43"/>
        <v>0</v>
      </c>
      <c r="P143" s="48">
        <f t="shared" si="44"/>
        <v>0</v>
      </c>
      <c r="Q143" s="48">
        <f t="shared" si="45"/>
        <v>0</v>
      </c>
      <c r="R143" s="41">
        <f t="shared" si="46"/>
        <v>0</v>
      </c>
    </row>
    <row r="144" spans="2:18" x14ac:dyDescent="0.2">
      <c r="B144" s="62" t="str">
        <f>IF(F144&lt;&gt;"",1+MAX($B$21:B143),"")</f>
        <v/>
      </c>
      <c r="C144" s="68"/>
      <c r="D144" s="74" t="s">
        <v>128</v>
      </c>
      <c r="E144" s="14"/>
      <c r="F144" s="19"/>
      <c r="G144" s="48"/>
      <c r="H144" s="48">
        <f t="shared" si="39"/>
        <v>0</v>
      </c>
      <c r="I144" s="48">
        <f t="shared" si="40"/>
        <v>0</v>
      </c>
      <c r="J144" s="49"/>
      <c r="K144" s="50">
        <f t="shared" si="41"/>
        <v>0</v>
      </c>
      <c r="L144" s="50"/>
      <c r="M144" s="48"/>
      <c r="N144" s="48">
        <f t="shared" si="42"/>
        <v>0</v>
      </c>
      <c r="O144" s="48">
        <f t="shared" si="43"/>
        <v>0</v>
      </c>
      <c r="P144" s="48">
        <f t="shared" si="44"/>
        <v>0</v>
      </c>
      <c r="Q144" s="48">
        <f t="shared" si="45"/>
        <v>0</v>
      </c>
      <c r="R144" s="41">
        <f t="shared" si="46"/>
        <v>0</v>
      </c>
    </row>
    <row r="145" spans="2:19" x14ac:dyDescent="0.2">
      <c r="B145" s="61">
        <f>IF(F145&lt;&gt;"",1+MAX($B$21:B144),"")</f>
        <v>74</v>
      </c>
      <c r="C145" s="195" t="s">
        <v>237</v>
      </c>
      <c r="D145" s="73" t="s">
        <v>248</v>
      </c>
      <c r="E145" s="14" t="s">
        <v>79</v>
      </c>
      <c r="F145" s="19">
        <v>6</v>
      </c>
      <c r="G145" s="12">
        <v>5.19</v>
      </c>
      <c r="H145" s="12">
        <f t="shared" si="39"/>
        <v>4.9408799999999999</v>
      </c>
      <c r="I145" s="12">
        <f t="shared" si="40"/>
        <v>29.64528</v>
      </c>
      <c r="J145" s="11">
        <v>2.7E-2</v>
      </c>
      <c r="K145" s="7">
        <f t="shared" si="41"/>
        <v>0.16200000000000001</v>
      </c>
      <c r="L145" s="28" t="s">
        <v>1058</v>
      </c>
      <c r="M145" s="29">
        <v>57.65</v>
      </c>
      <c r="N145" s="48">
        <f t="shared" si="42"/>
        <v>42.142150000000001</v>
      </c>
      <c r="O145" s="48">
        <f t="shared" si="43"/>
        <v>1.13783805</v>
      </c>
      <c r="P145" s="48">
        <f t="shared" si="44"/>
        <v>6.8270283000000003</v>
      </c>
      <c r="Q145" s="48">
        <f t="shared" si="45"/>
        <v>36.472308300000002</v>
      </c>
      <c r="R145" s="41">
        <f t="shared" si="46"/>
        <v>51.138838376100004</v>
      </c>
    </row>
    <row r="146" spans="2:19" x14ac:dyDescent="0.2">
      <c r="B146" s="61">
        <f>IF(F146&lt;&gt;"",1+MAX($B$21:B145),"")</f>
        <v>75</v>
      </c>
      <c r="C146" s="195"/>
      <c r="D146" s="73" t="s">
        <v>286</v>
      </c>
      <c r="E146" s="14" t="s">
        <v>79</v>
      </c>
      <c r="F146" s="19">
        <v>10</v>
      </c>
      <c r="G146" s="12">
        <v>79.63</v>
      </c>
      <c r="H146" s="12">
        <f t="shared" si="39"/>
        <v>75.807759999999988</v>
      </c>
      <c r="I146" s="12">
        <f t="shared" si="40"/>
        <v>758.07759999999985</v>
      </c>
      <c r="J146" s="11">
        <v>0.41399999999999998</v>
      </c>
      <c r="K146" s="7">
        <f t="shared" si="41"/>
        <v>4.1399999999999997</v>
      </c>
      <c r="L146" s="28" t="s">
        <v>1058</v>
      </c>
      <c r="M146" s="29">
        <v>57.65</v>
      </c>
      <c r="N146" s="48">
        <f t="shared" si="42"/>
        <v>42.142150000000001</v>
      </c>
      <c r="O146" s="48">
        <f t="shared" si="43"/>
        <v>17.446850099999999</v>
      </c>
      <c r="P146" s="48">
        <f t="shared" si="44"/>
        <v>174.468501</v>
      </c>
      <c r="Q146" s="48">
        <f t="shared" si="45"/>
        <v>932.54610099999991</v>
      </c>
      <c r="R146" s="41">
        <f t="shared" si="46"/>
        <v>1307.5461115669998</v>
      </c>
    </row>
    <row r="147" spans="2:19" x14ac:dyDescent="0.2">
      <c r="B147" s="61">
        <f>IF(F147&lt;&gt;"",1+MAX($B$21:B146),"")</f>
        <v>76</v>
      </c>
      <c r="C147" s="195"/>
      <c r="D147" s="73" t="s">
        <v>287</v>
      </c>
      <c r="E147" s="14" t="s">
        <v>79</v>
      </c>
      <c r="F147" s="19">
        <v>4</v>
      </c>
      <c r="G147" s="12">
        <v>144.52000000000001</v>
      </c>
      <c r="H147" s="12">
        <f t="shared" si="39"/>
        <v>137.58304000000001</v>
      </c>
      <c r="I147" s="12">
        <f t="shared" si="40"/>
        <v>550.33216000000004</v>
      </c>
      <c r="J147" s="11">
        <v>0.752</v>
      </c>
      <c r="K147" s="7">
        <f t="shared" si="41"/>
        <v>3.008</v>
      </c>
      <c r="L147" s="28" t="s">
        <v>1058</v>
      </c>
      <c r="M147" s="29">
        <v>57.65</v>
      </c>
      <c r="N147" s="48">
        <f t="shared" si="42"/>
        <v>42.142150000000001</v>
      </c>
      <c r="O147" s="48">
        <f t="shared" si="43"/>
        <v>31.690896800000001</v>
      </c>
      <c r="P147" s="48">
        <f t="shared" si="44"/>
        <v>126.7635872</v>
      </c>
      <c r="Q147" s="48">
        <f t="shared" si="45"/>
        <v>677.09574720000001</v>
      </c>
      <c r="R147" s="41">
        <f t="shared" si="46"/>
        <v>949.37546715840006</v>
      </c>
    </row>
    <row r="148" spans="2:19" x14ac:dyDescent="0.2">
      <c r="B148" s="61">
        <f>IF(F148&lt;&gt;"",1+MAX($B$21:B147),"")</f>
        <v>77</v>
      </c>
      <c r="C148" s="195"/>
      <c r="D148" s="73" t="s">
        <v>288</v>
      </c>
      <c r="E148" s="14" t="s">
        <v>79</v>
      </c>
      <c r="F148" s="19">
        <v>4</v>
      </c>
      <c r="G148" s="12">
        <v>149.31</v>
      </c>
      <c r="H148" s="12">
        <f t="shared" si="39"/>
        <v>142.14311999999998</v>
      </c>
      <c r="I148" s="12">
        <f t="shared" si="40"/>
        <v>568.57247999999993</v>
      </c>
      <c r="J148" s="11">
        <v>0.77600000000000002</v>
      </c>
      <c r="K148" s="7">
        <f t="shared" si="41"/>
        <v>3.1040000000000001</v>
      </c>
      <c r="L148" s="28" t="s">
        <v>1058</v>
      </c>
      <c r="M148" s="29">
        <v>57.65</v>
      </c>
      <c r="N148" s="48">
        <f t="shared" si="42"/>
        <v>42.142150000000001</v>
      </c>
      <c r="O148" s="48">
        <f t="shared" si="43"/>
        <v>32.7023084</v>
      </c>
      <c r="P148" s="48">
        <f t="shared" si="44"/>
        <v>130.8092336</v>
      </c>
      <c r="Q148" s="48">
        <f t="shared" si="45"/>
        <v>699.3817135999999</v>
      </c>
      <c r="R148" s="41">
        <f t="shared" si="46"/>
        <v>980.61938741919994</v>
      </c>
    </row>
    <row r="149" spans="2:19" x14ac:dyDescent="0.2">
      <c r="B149" s="61">
        <f>IF(F149&lt;&gt;"",1+MAX($B$21:B148),"")</f>
        <v>78</v>
      </c>
      <c r="C149" s="195"/>
      <c r="D149" s="73" t="s">
        <v>289</v>
      </c>
      <c r="E149" s="14" t="s">
        <v>79</v>
      </c>
      <c r="F149" s="19">
        <v>2</v>
      </c>
      <c r="G149" s="12">
        <v>33.46</v>
      </c>
      <c r="H149" s="12">
        <f t="shared" si="39"/>
        <v>31.853919999999999</v>
      </c>
      <c r="I149" s="12">
        <f t="shared" si="40"/>
        <v>63.707839999999997</v>
      </c>
      <c r="J149" s="11">
        <v>0.17399999999999999</v>
      </c>
      <c r="K149" s="7">
        <f t="shared" si="41"/>
        <v>0.34799999999999998</v>
      </c>
      <c r="L149" s="28" t="s">
        <v>1058</v>
      </c>
      <c r="M149" s="29">
        <v>57.65</v>
      </c>
      <c r="N149" s="48">
        <f t="shared" si="42"/>
        <v>42.142150000000001</v>
      </c>
      <c r="O149" s="48">
        <f t="shared" si="43"/>
        <v>7.3327340999999997</v>
      </c>
      <c r="P149" s="48">
        <f t="shared" si="44"/>
        <v>14.665468199999999</v>
      </c>
      <c r="Q149" s="48">
        <f t="shared" si="45"/>
        <v>78.373308199999997</v>
      </c>
      <c r="R149" s="41">
        <f t="shared" si="46"/>
        <v>109.88925089739999</v>
      </c>
    </row>
    <row r="150" spans="2:19" x14ac:dyDescent="0.2">
      <c r="B150" s="61">
        <f>IF(F150&lt;&gt;"",1+MAX($B$21:B149),"")</f>
        <v>79</v>
      </c>
      <c r="C150" s="195"/>
      <c r="D150" s="73" t="s">
        <v>290</v>
      </c>
      <c r="E150" s="14" t="s">
        <v>79</v>
      </c>
      <c r="F150" s="19">
        <v>16</v>
      </c>
      <c r="G150" s="12">
        <v>43.13</v>
      </c>
      <c r="H150" s="12">
        <f t="shared" si="39"/>
        <v>41.059759999999997</v>
      </c>
      <c r="I150" s="12">
        <f t="shared" si="40"/>
        <v>656.95615999999995</v>
      </c>
      <c r="J150" s="11">
        <v>0.224</v>
      </c>
      <c r="K150" s="7">
        <f t="shared" si="41"/>
        <v>3.5840000000000001</v>
      </c>
      <c r="L150" s="28" t="s">
        <v>1058</v>
      </c>
      <c r="M150" s="29">
        <v>57.65</v>
      </c>
      <c r="N150" s="48">
        <f t="shared" si="42"/>
        <v>42.142150000000001</v>
      </c>
      <c r="O150" s="48">
        <f t="shared" si="43"/>
        <v>9.4398416000000012</v>
      </c>
      <c r="P150" s="48">
        <f t="shared" si="44"/>
        <v>151.03746560000002</v>
      </c>
      <c r="Q150" s="48">
        <f t="shared" si="45"/>
        <v>807.99362559999997</v>
      </c>
      <c r="R150" s="41">
        <f t="shared" si="46"/>
        <v>1132.9040452352001</v>
      </c>
    </row>
    <row r="151" spans="2:19" x14ac:dyDescent="0.2">
      <c r="B151" s="61" t="str">
        <f>IF(F151&lt;&gt;"",1+MAX($B$21:B150),"")</f>
        <v/>
      </c>
      <c r="C151" s="67"/>
      <c r="D151" s="73"/>
      <c r="E151" s="14"/>
      <c r="F151" s="19"/>
      <c r="G151" s="48"/>
      <c r="H151" s="48">
        <f t="shared" si="39"/>
        <v>0</v>
      </c>
      <c r="I151" s="48">
        <f t="shared" si="40"/>
        <v>0</v>
      </c>
      <c r="J151" s="49"/>
      <c r="K151" s="50">
        <f t="shared" si="41"/>
        <v>0</v>
      </c>
      <c r="L151" s="50"/>
      <c r="M151" s="48"/>
      <c r="N151" s="48">
        <f t="shared" si="42"/>
        <v>0</v>
      </c>
      <c r="O151" s="48">
        <f t="shared" si="43"/>
        <v>0</v>
      </c>
      <c r="P151" s="48">
        <f t="shared" si="44"/>
        <v>0</v>
      </c>
      <c r="Q151" s="48">
        <f t="shared" si="45"/>
        <v>0</v>
      </c>
      <c r="R151" s="41">
        <f t="shared" si="46"/>
        <v>0</v>
      </c>
    </row>
    <row r="152" spans="2:19" x14ac:dyDescent="0.2">
      <c r="B152" s="62" t="str">
        <f>IF(F152&lt;&gt;"",1+MAX($B$21:B151),"")</f>
        <v/>
      </c>
      <c r="C152" s="68"/>
      <c r="D152" s="74" t="s">
        <v>321</v>
      </c>
      <c r="E152" s="14"/>
      <c r="F152" s="19"/>
      <c r="G152" s="48"/>
      <c r="H152" s="48">
        <f t="shared" si="39"/>
        <v>0</v>
      </c>
      <c r="I152" s="48">
        <f t="shared" si="40"/>
        <v>0</v>
      </c>
      <c r="J152" s="49"/>
      <c r="K152" s="50">
        <f t="shared" si="41"/>
        <v>0</v>
      </c>
      <c r="L152" s="50"/>
      <c r="M152" s="48"/>
      <c r="N152" s="48">
        <f t="shared" si="42"/>
        <v>0</v>
      </c>
      <c r="O152" s="48">
        <f t="shared" si="43"/>
        <v>0</v>
      </c>
      <c r="P152" s="48">
        <f t="shared" si="44"/>
        <v>0</v>
      </c>
      <c r="Q152" s="48">
        <f t="shared" si="45"/>
        <v>0</v>
      </c>
      <c r="R152" s="41">
        <f t="shared" si="46"/>
        <v>0</v>
      </c>
    </row>
    <row r="153" spans="2:19" ht="51" x14ac:dyDescent="0.2">
      <c r="B153" s="61">
        <f>IF(F153&lt;&gt;"",1+MAX($B$21:B152),"")</f>
        <v>80</v>
      </c>
      <c r="C153" s="67" t="s">
        <v>323</v>
      </c>
      <c r="D153" s="73" t="s">
        <v>322</v>
      </c>
      <c r="E153" s="14" t="s">
        <v>79</v>
      </c>
      <c r="F153" s="19">
        <v>1</v>
      </c>
      <c r="G153" s="12">
        <v>1933.29</v>
      </c>
      <c r="H153" s="12">
        <f t="shared" si="39"/>
        <v>1840.49208</v>
      </c>
      <c r="I153" s="12">
        <f t="shared" si="40"/>
        <v>1840.49208</v>
      </c>
      <c r="J153" s="11">
        <v>8.5329999999999995</v>
      </c>
      <c r="K153" s="7">
        <f t="shared" si="41"/>
        <v>8.5329999999999995</v>
      </c>
      <c r="L153" s="28" t="s">
        <v>1059</v>
      </c>
      <c r="M153" s="29">
        <v>62.74</v>
      </c>
      <c r="N153" s="48">
        <f t="shared" si="42"/>
        <v>45.862940000000002</v>
      </c>
      <c r="O153" s="48">
        <f t="shared" si="43"/>
        <v>391.34846701999999</v>
      </c>
      <c r="P153" s="48">
        <f t="shared" si="44"/>
        <v>391.34846701999999</v>
      </c>
      <c r="Q153" s="48">
        <f t="shared" si="45"/>
        <v>2231.84054702</v>
      </c>
      <c r="R153" s="41">
        <f t="shared" si="46"/>
        <v>3128.5174029495397</v>
      </c>
    </row>
    <row r="154" spans="2:19" ht="13.5" thickBot="1" x14ac:dyDescent="0.25">
      <c r="B154" s="61" t="str">
        <f>IF(F154&lt;&gt;"",1+MAX($B$21:B153),"")</f>
        <v/>
      </c>
      <c r="C154" s="67"/>
      <c r="D154" s="73"/>
      <c r="E154" s="14"/>
      <c r="F154" s="19"/>
      <c r="G154" s="48"/>
      <c r="H154" s="48">
        <f t="shared" si="39"/>
        <v>0</v>
      </c>
      <c r="I154" s="48">
        <f t="shared" si="40"/>
        <v>0</v>
      </c>
      <c r="J154" s="49"/>
      <c r="K154" s="50">
        <f t="shared" si="41"/>
        <v>0</v>
      </c>
      <c r="L154" s="50"/>
      <c r="M154" s="48"/>
      <c r="N154" s="48">
        <f t="shared" si="42"/>
        <v>0</v>
      </c>
      <c r="O154" s="48">
        <f t="shared" si="43"/>
        <v>0</v>
      </c>
      <c r="P154" s="48">
        <f t="shared" si="44"/>
        <v>0</v>
      </c>
      <c r="Q154" s="48">
        <f t="shared" si="45"/>
        <v>0</v>
      </c>
      <c r="R154" s="41">
        <f t="shared" si="46"/>
        <v>0</v>
      </c>
    </row>
    <row r="155" spans="2:19" s="9" customFormat="1" ht="26.25" thickBot="1" x14ac:dyDescent="0.25">
      <c r="B155" s="59" t="str">
        <f>IF(F155&lt;&gt;"",1+MAX($B$21:B154),"")</f>
        <v/>
      </c>
      <c r="C155" s="65" t="s">
        <v>44</v>
      </c>
      <c r="D155" s="72" t="s">
        <v>10</v>
      </c>
      <c r="E155" s="51"/>
      <c r="F155" s="51"/>
      <c r="G155" s="51"/>
      <c r="H155" s="52" t="s">
        <v>61</v>
      </c>
      <c r="I155" s="53">
        <f>SUM(I156:I265)</f>
        <v>47264.686074479971</v>
      </c>
      <c r="J155" s="54"/>
      <c r="K155" s="55" t="str">
        <f>ROUND(SUM(K156:K265),0) &amp; " " &amp; "HRS"</f>
        <v>284 HRS</v>
      </c>
      <c r="L155" s="56"/>
      <c r="M155" s="56"/>
      <c r="N155" s="56"/>
      <c r="O155" s="52" t="s">
        <v>62</v>
      </c>
      <c r="P155" s="53">
        <f>SUM(P156:P265)</f>
        <v>11026.175078621862</v>
      </c>
      <c r="Q155" s="57">
        <f>SUM(Q156:Q265)</f>
        <v>58290.861153101847</v>
      </c>
      <c r="R155" s="58">
        <f>(Q155)+(I155*$Q$7)+(P155*$Q$8)+(Q155*$Q$9)+($Q$10*((Q155)+(I155*$Q$7)+(P155*$Q$8)+(Q155*$Q$9)))+(Q155*$Q$11)</f>
        <v>81734.759471597252</v>
      </c>
    </row>
    <row r="156" spans="2:19" x14ac:dyDescent="0.2">
      <c r="B156" s="61" t="str">
        <f>IF(F156&lt;&gt;"",1+MAX($B$21:B155),"")</f>
        <v/>
      </c>
      <c r="C156" s="67"/>
      <c r="D156" s="73"/>
      <c r="E156" s="14"/>
      <c r="F156" s="19"/>
      <c r="G156" s="48"/>
      <c r="H156" s="48">
        <f t="shared" ref="H156:H219" si="61">G156*$T$2</f>
        <v>0</v>
      </c>
      <c r="I156" s="48">
        <f t="shared" ref="I156:I219" si="62">F156*H156</f>
        <v>0</v>
      </c>
      <c r="J156" s="49"/>
      <c r="K156" s="50">
        <f t="shared" ref="K156:K219" si="63">F156*J156</f>
        <v>0</v>
      </c>
      <c r="L156" s="50"/>
      <c r="M156" s="48"/>
      <c r="N156" s="48">
        <f t="shared" ref="N156:N219" si="64">M156*$U$2</f>
        <v>0</v>
      </c>
      <c r="O156" s="48">
        <f t="shared" ref="O156:O219" si="65">J156*N156</f>
        <v>0</v>
      </c>
      <c r="P156" s="48">
        <f t="shared" ref="P156:P219" si="66">F156*O156</f>
        <v>0</v>
      </c>
      <c r="Q156" s="48">
        <f t="shared" ref="Q156:Q219" si="67">I156+P156</f>
        <v>0</v>
      </c>
      <c r="R156" s="41">
        <f t="shared" ref="R156:R219" si="68">Q156+(I156*$Q$7)+(P156*$Q$8)+(Q156*$Q$9)+(Q156*$Q$11)+($Q$10*(Q156+(I156*$Q$7)+(P156*$Q$8)+(Q156*$Q$9)))</f>
        <v>0</v>
      </c>
      <c r="S156" s="9"/>
    </row>
    <row r="157" spans="2:19" x14ac:dyDescent="0.2">
      <c r="B157" s="62" t="str">
        <f>IF(F157&lt;&gt;"",1+MAX($B$21:B156),"")</f>
        <v/>
      </c>
      <c r="C157" s="68"/>
      <c r="D157" s="74" t="s">
        <v>127</v>
      </c>
      <c r="E157" s="14"/>
      <c r="F157" s="19"/>
      <c r="G157" s="48"/>
      <c r="H157" s="48">
        <f t="shared" si="61"/>
        <v>0</v>
      </c>
      <c r="I157" s="48">
        <f t="shared" si="62"/>
        <v>0</v>
      </c>
      <c r="J157" s="49"/>
      <c r="K157" s="50">
        <f t="shared" si="63"/>
        <v>0</v>
      </c>
      <c r="L157" s="50"/>
      <c r="M157" s="48"/>
      <c r="N157" s="48">
        <f t="shared" si="64"/>
        <v>0</v>
      </c>
      <c r="O157" s="48">
        <f t="shared" si="65"/>
        <v>0</v>
      </c>
      <c r="P157" s="48">
        <f t="shared" si="66"/>
        <v>0</v>
      </c>
      <c r="Q157" s="48">
        <f t="shared" si="67"/>
        <v>0</v>
      </c>
      <c r="R157" s="41">
        <f t="shared" si="68"/>
        <v>0</v>
      </c>
    </row>
    <row r="158" spans="2:19" x14ac:dyDescent="0.2">
      <c r="B158" s="61">
        <f>IF(F158&lt;&gt;"",1+MAX($B$21:B157),"")</f>
        <v>81</v>
      </c>
      <c r="C158" s="133" t="s">
        <v>147</v>
      </c>
      <c r="D158" s="73" t="s">
        <v>307</v>
      </c>
      <c r="E158" s="14" t="s">
        <v>72</v>
      </c>
      <c r="F158" s="19">
        <f>5.3*9</f>
        <v>47.699999999999996</v>
      </c>
      <c r="G158" s="12">
        <v>1.8239999999999998</v>
      </c>
      <c r="H158" s="12">
        <f t="shared" si="61"/>
        <v>1.7364479999999998</v>
      </c>
      <c r="I158" s="12">
        <f t="shared" si="62"/>
        <v>82.82856959999998</v>
      </c>
      <c r="J158" s="11">
        <v>1.9E-2</v>
      </c>
      <c r="K158" s="7">
        <f t="shared" si="63"/>
        <v>0.90629999999999988</v>
      </c>
      <c r="L158" s="28" t="s">
        <v>1052</v>
      </c>
      <c r="M158" s="29">
        <v>53.15</v>
      </c>
      <c r="N158" s="48">
        <f t="shared" si="64"/>
        <v>38.852649999999997</v>
      </c>
      <c r="O158" s="48">
        <f t="shared" si="65"/>
        <v>0.73820034999999995</v>
      </c>
      <c r="P158" s="48">
        <f t="shared" si="66"/>
        <v>35.212156694999997</v>
      </c>
      <c r="Q158" s="48">
        <f t="shared" si="67"/>
        <v>118.04072629499998</v>
      </c>
      <c r="R158" s="41">
        <f t="shared" si="68"/>
        <v>165.90956219320501</v>
      </c>
    </row>
    <row r="159" spans="2:19" x14ac:dyDescent="0.2">
      <c r="B159" s="61">
        <f>IF(F159&lt;&gt;"",1+MAX($B$21:B158),"")</f>
        <v>82</v>
      </c>
      <c r="C159" s="198" t="s">
        <v>319</v>
      </c>
      <c r="D159" s="73" t="s">
        <v>308</v>
      </c>
      <c r="E159" s="14" t="s">
        <v>72</v>
      </c>
      <c r="F159" s="19">
        <f>8.5*18.67*2+(9.25*10.25+13*4+90*12.75+41.5*15.75+9*15.75)+(46*1.58+38*2.58+97*4.58+6*7.17)-100+46*2</f>
        <v>3057.0774999999999</v>
      </c>
      <c r="G159" s="12">
        <v>1.8239999999999998</v>
      </c>
      <c r="H159" s="12">
        <f t="shared" si="61"/>
        <v>1.7364479999999998</v>
      </c>
      <c r="I159" s="12">
        <f t="shared" si="62"/>
        <v>5308.4561107199988</v>
      </c>
      <c r="J159" s="11">
        <v>1.9E-2</v>
      </c>
      <c r="K159" s="7">
        <f t="shared" si="63"/>
        <v>58.084472499999997</v>
      </c>
      <c r="L159" s="28" t="s">
        <v>1052</v>
      </c>
      <c r="M159" s="29">
        <v>53.15</v>
      </c>
      <c r="N159" s="48">
        <f t="shared" si="64"/>
        <v>38.852649999999997</v>
      </c>
      <c r="O159" s="48">
        <f t="shared" si="65"/>
        <v>0.73820034999999995</v>
      </c>
      <c r="P159" s="48">
        <f t="shared" si="66"/>
        <v>2256.7356804771248</v>
      </c>
      <c r="Q159" s="48">
        <f t="shared" si="67"/>
        <v>7565.1917911971232</v>
      </c>
      <c r="R159" s="41">
        <f t="shared" si="68"/>
        <v>10633.089929050264</v>
      </c>
    </row>
    <row r="160" spans="2:19" x14ac:dyDescent="0.2">
      <c r="B160" s="61">
        <f>IF(F160&lt;&gt;"",1+MAX($B$21:B159),"")</f>
        <v>83</v>
      </c>
      <c r="C160" s="197"/>
      <c r="D160" s="73" t="s">
        <v>309</v>
      </c>
      <c r="E160" s="14" t="s">
        <v>72</v>
      </c>
      <c r="F160" s="19">
        <f>(19.26+3.31+11+3+5)*2.67+52</f>
        <v>162.99189999999999</v>
      </c>
      <c r="G160" s="12">
        <v>2.4</v>
      </c>
      <c r="H160" s="12">
        <f t="shared" si="61"/>
        <v>2.2847999999999997</v>
      </c>
      <c r="I160" s="12">
        <f t="shared" si="62"/>
        <v>372.40389311999991</v>
      </c>
      <c r="J160" s="11">
        <v>2.1000000000000001E-2</v>
      </c>
      <c r="K160" s="7">
        <f t="shared" si="63"/>
        <v>3.4228299</v>
      </c>
      <c r="L160" s="28" t="s">
        <v>1052</v>
      </c>
      <c r="M160" s="29">
        <v>53.15</v>
      </c>
      <c r="N160" s="48">
        <f t="shared" si="64"/>
        <v>38.852649999999997</v>
      </c>
      <c r="O160" s="48">
        <f t="shared" si="65"/>
        <v>0.81590565000000004</v>
      </c>
      <c r="P160" s="48">
        <f t="shared" si="66"/>
        <v>132.986012114235</v>
      </c>
      <c r="Q160" s="48">
        <f t="shared" si="67"/>
        <v>505.3899052342349</v>
      </c>
      <c r="R160" s="41">
        <f t="shared" si="68"/>
        <v>709.79583563978122</v>
      </c>
    </row>
    <row r="161" spans="2:18" x14ac:dyDescent="0.2">
      <c r="B161" s="61">
        <f>IF(F161&lt;&gt;"",1+MAX($B$21:B160),"")</f>
        <v>84</v>
      </c>
      <c r="C161" s="67" t="s">
        <v>320</v>
      </c>
      <c r="D161" s="73" t="s">
        <v>415</v>
      </c>
      <c r="E161" s="14" t="s">
        <v>72</v>
      </c>
      <c r="F161" s="19">
        <v>285</v>
      </c>
      <c r="G161" s="12">
        <v>2.4</v>
      </c>
      <c r="H161" s="12">
        <f t="shared" si="61"/>
        <v>2.2847999999999997</v>
      </c>
      <c r="I161" s="12">
        <f t="shared" si="62"/>
        <v>651.16799999999989</v>
      </c>
      <c r="J161" s="11">
        <v>2.1000000000000001E-2</v>
      </c>
      <c r="K161" s="7">
        <f t="shared" si="63"/>
        <v>5.9850000000000003</v>
      </c>
      <c r="L161" s="28" t="s">
        <v>1052</v>
      </c>
      <c r="M161" s="29">
        <v>53.15</v>
      </c>
      <c r="N161" s="48">
        <f t="shared" si="64"/>
        <v>38.852649999999997</v>
      </c>
      <c r="O161" s="48">
        <f t="shared" si="65"/>
        <v>0.81590565000000004</v>
      </c>
      <c r="P161" s="48">
        <f t="shared" si="66"/>
        <v>232.53311025000002</v>
      </c>
      <c r="Q161" s="48">
        <f t="shared" si="67"/>
        <v>883.70111024999994</v>
      </c>
      <c r="R161" s="41">
        <f t="shared" si="68"/>
        <v>1241.1157435267501</v>
      </c>
    </row>
    <row r="162" spans="2:18" x14ac:dyDescent="0.2">
      <c r="B162" s="61">
        <f>IF(F162&lt;&gt;"",1+MAX($B$21:B161),"")</f>
        <v>85</v>
      </c>
      <c r="C162" s="67" t="s">
        <v>373</v>
      </c>
      <c r="D162" s="73" t="s">
        <v>438</v>
      </c>
      <c r="E162" s="14" t="s">
        <v>72</v>
      </c>
      <c r="F162" s="19">
        <f>360+139*1.5</f>
        <v>568.5</v>
      </c>
      <c r="G162" s="12">
        <v>2.4</v>
      </c>
      <c r="H162" s="12">
        <f t="shared" si="61"/>
        <v>2.2847999999999997</v>
      </c>
      <c r="I162" s="12">
        <f t="shared" si="62"/>
        <v>1298.9087999999999</v>
      </c>
      <c r="J162" s="11">
        <v>2.1000000000000001E-2</v>
      </c>
      <c r="K162" s="7">
        <f t="shared" si="63"/>
        <v>11.938500000000001</v>
      </c>
      <c r="L162" s="28" t="s">
        <v>1052</v>
      </c>
      <c r="M162" s="29">
        <v>53.15</v>
      </c>
      <c r="N162" s="48">
        <f t="shared" si="64"/>
        <v>38.852649999999997</v>
      </c>
      <c r="O162" s="48">
        <f t="shared" si="65"/>
        <v>0.81590565000000004</v>
      </c>
      <c r="P162" s="48">
        <f t="shared" si="66"/>
        <v>463.842362025</v>
      </c>
      <c r="Q162" s="48">
        <f t="shared" si="67"/>
        <v>1762.751162025</v>
      </c>
      <c r="R162" s="41">
        <f t="shared" si="68"/>
        <v>2475.699298929675</v>
      </c>
    </row>
    <row r="163" spans="2:18" x14ac:dyDescent="0.2">
      <c r="B163" s="61">
        <f>IF(F163&lt;&gt;"",1+MAX($B$21:B162),"")</f>
        <v>86</v>
      </c>
      <c r="C163" s="66" t="s">
        <v>573</v>
      </c>
      <c r="D163" s="73" t="s">
        <v>583</v>
      </c>
      <c r="E163" s="14" t="s">
        <v>72</v>
      </c>
      <c r="F163" s="19">
        <f>76*2</f>
        <v>152</v>
      </c>
      <c r="G163" s="12">
        <v>2.34</v>
      </c>
      <c r="H163" s="12">
        <f t="shared" si="61"/>
        <v>2.2276799999999999</v>
      </c>
      <c r="I163" s="12">
        <f t="shared" si="62"/>
        <v>338.60735999999997</v>
      </c>
      <c r="J163" s="11">
        <v>2.3E-2</v>
      </c>
      <c r="K163" s="7">
        <f t="shared" si="63"/>
        <v>3.496</v>
      </c>
      <c r="L163" s="28" t="s">
        <v>1052</v>
      </c>
      <c r="M163" s="29">
        <v>53.15</v>
      </c>
      <c r="N163" s="48">
        <f t="shared" si="64"/>
        <v>38.852649999999997</v>
      </c>
      <c r="O163" s="48">
        <f t="shared" si="65"/>
        <v>0.8936109499999999</v>
      </c>
      <c r="P163" s="48">
        <f t="shared" si="66"/>
        <v>135.82886439999999</v>
      </c>
      <c r="Q163" s="48">
        <f t="shared" si="67"/>
        <v>474.43622439999996</v>
      </c>
      <c r="R163" s="41">
        <f t="shared" si="68"/>
        <v>666.65910700279983</v>
      </c>
    </row>
    <row r="164" spans="2:18" x14ac:dyDescent="0.2">
      <c r="B164" s="61">
        <f>IF(F164&lt;&gt;"",1+MAX($B$21:B163),"")</f>
        <v>87</v>
      </c>
      <c r="C164" s="67" t="s">
        <v>858</v>
      </c>
      <c r="D164" s="73" t="s">
        <v>862</v>
      </c>
      <c r="E164" s="14" t="s">
        <v>72</v>
      </c>
      <c r="F164" s="19">
        <v>215.33</v>
      </c>
      <c r="G164" s="12">
        <v>2.34</v>
      </c>
      <c r="H164" s="12">
        <f t="shared" si="61"/>
        <v>2.2276799999999999</v>
      </c>
      <c r="I164" s="12">
        <f t="shared" si="62"/>
        <v>479.68633440000002</v>
      </c>
      <c r="J164" s="11">
        <v>2.3E-2</v>
      </c>
      <c r="K164" s="7">
        <f t="shared" si="63"/>
        <v>4.9525899999999998</v>
      </c>
      <c r="L164" s="28" t="s">
        <v>1052</v>
      </c>
      <c r="M164" s="29">
        <v>53.15</v>
      </c>
      <c r="N164" s="48">
        <f t="shared" si="64"/>
        <v>38.852649999999997</v>
      </c>
      <c r="O164" s="48">
        <f t="shared" si="65"/>
        <v>0.8936109499999999</v>
      </c>
      <c r="P164" s="48">
        <f t="shared" si="66"/>
        <v>192.42124586349999</v>
      </c>
      <c r="Q164" s="48">
        <f t="shared" si="67"/>
        <v>672.10758026350004</v>
      </c>
      <c r="R164" s="41">
        <f t="shared" si="68"/>
        <v>944.41911520337453</v>
      </c>
    </row>
    <row r="165" spans="2:18" x14ac:dyDescent="0.2">
      <c r="B165" s="61" t="str">
        <f>IF(F165&lt;&gt;"",1+MAX($B$21:B164),"")</f>
        <v/>
      </c>
      <c r="C165" s="67"/>
      <c r="D165" s="73"/>
      <c r="E165" s="14"/>
      <c r="F165" s="19"/>
      <c r="G165" s="48"/>
      <c r="H165" s="48">
        <f t="shared" si="61"/>
        <v>0</v>
      </c>
      <c r="I165" s="48">
        <f t="shared" si="62"/>
        <v>0</v>
      </c>
      <c r="J165" s="49"/>
      <c r="K165" s="50">
        <f t="shared" si="63"/>
        <v>0</v>
      </c>
      <c r="L165" s="50"/>
      <c r="M165" s="48"/>
      <c r="N165" s="48">
        <f t="shared" si="64"/>
        <v>0</v>
      </c>
      <c r="O165" s="48">
        <f t="shared" si="65"/>
        <v>0</v>
      </c>
      <c r="P165" s="48">
        <f t="shared" si="66"/>
        <v>0</v>
      </c>
      <c r="Q165" s="48">
        <f t="shared" si="67"/>
        <v>0</v>
      </c>
      <c r="R165" s="41">
        <f t="shared" si="68"/>
        <v>0</v>
      </c>
    </row>
    <row r="166" spans="2:18" x14ac:dyDescent="0.2">
      <c r="B166" s="62" t="str">
        <f>IF(F166&lt;&gt;"",1+MAX($B$21:B165),"")</f>
        <v/>
      </c>
      <c r="C166" s="68"/>
      <c r="D166" s="74" t="s">
        <v>76</v>
      </c>
      <c r="E166" s="14"/>
      <c r="F166" s="19"/>
      <c r="G166" s="48"/>
      <c r="H166" s="48">
        <f t="shared" si="61"/>
        <v>0</v>
      </c>
      <c r="I166" s="48">
        <f t="shared" si="62"/>
        <v>0</v>
      </c>
      <c r="J166" s="49"/>
      <c r="K166" s="50">
        <f t="shared" si="63"/>
        <v>0</v>
      </c>
      <c r="L166" s="50"/>
      <c r="M166" s="48"/>
      <c r="N166" s="48">
        <f t="shared" si="64"/>
        <v>0</v>
      </c>
      <c r="O166" s="48">
        <f t="shared" si="65"/>
        <v>0</v>
      </c>
      <c r="P166" s="48">
        <f t="shared" si="66"/>
        <v>0</v>
      </c>
      <c r="Q166" s="48">
        <f t="shared" si="67"/>
        <v>0</v>
      </c>
      <c r="R166" s="41">
        <f t="shared" si="68"/>
        <v>0</v>
      </c>
    </row>
    <row r="167" spans="2:18" x14ac:dyDescent="0.2">
      <c r="B167" s="61">
        <f>IF(F167&lt;&gt;"",1+MAX($B$21:B166),"")</f>
        <v>88</v>
      </c>
      <c r="C167" s="67" t="s">
        <v>496</v>
      </c>
      <c r="D167" s="73" t="s">
        <v>499</v>
      </c>
      <c r="E167" s="14" t="s">
        <v>74</v>
      </c>
      <c r="F167" s="19">
        <v>910</v>
      </c>
      <c r="G167" s="12">
        <v>2.95</v>
      </c>
      <c r="H167" s="12">
        <f t="shared" si="61"/>
        <v>2.8084000000000002</v>
      </c>
      <c r="I167" s="12">
        <f t="shared" si="62"/>
        <v>2555.6440000000002</v>
      </c>
      <c r="J167" s="11">
        <v>3.2000000000000001E-2</v>
      </c>
      <c r="K167" s="7">
        <f t="shared" si="63"/>
        <v>29.12</v>
      </c>
      <c r="L167" s="28" t="s">
        <v>1048</v>
      </c>
      <c r="M167" s="29">
        <v>53.15</v>
      </c>
      <c r="N167" s="48">
        <f t="shared" si="64"/>
        <v>38.852649999999997</v>
      </c>
      <c r="O167" s="48">
        <f t="shared" si="65"/>
        <v>1.2432847999999999</v>
      </c>
      <c r="P167" s="48">
        <f t="shared" si="66"/>
        <v>1131.3891679999999</v>
      </c>
      <c r="Q167" s="48">
        <f t="shared" si="67"/>
        <v>3687.0331679999999</v>
      </c>
      <c r="R167" s="41">
        <f t="shared" si="68"/>
        <v>5183.1936243360005</v>
      </c>
    </row>
    <row r="168" spans="2:18" x14ac:dyDescent="0.2">
      <c r="B168" s="61" t="str">
        <f>IF(F168&lt;&gt;"",1+MAX($B$21:B167),"")</f>
        <v/>
      </c>
      <c r="C168" s="67"/>
      <c r="D168" s="73"/>
      <c r="E168" s="14"/>
      <c r="F168" s="19"/>
      <c r="G168" s="48"/>
      <c r="H168" s="48">
        <f t="shared" si="61"/>
        <v>0</v>
      </c>
      <c r="I168" s="48">
        <f t="shared" si="62"/>
        <v>0</v>
      </c>
      <c r="J168" s="49"/>
      <c r="K168" s="50">
        <f t="shared" si="63"/>
        <v>0</v>
      </c>
      <c r="L168" s="50"/>
      <c r="M168" s="48"/>
      <c r="N168" s="48">
        <f t="shared" si="64"/>
        <v>0</v>
      </c>
      <c r="O168" s="48">
        <f t="shared" si="65"/>
        <v>0</v>
      </c>
      <c r="P168" s="48">
        <f t="shared" si="66"/>
        <v>0</v>
      </c>
      <c r="Q168" s="48">
        <f t="shared" si="67"/>
        <v>0</v>
      </c>
      <c r="R168" s="41">
        <f t="shared" si="68"/>
        <v>0</v>
      </c>
    </row>
    <row r="169" spans="2:18" x14ac:dyDescent="0.2">
      <c r="B169" s="62" t="str">
        <f>IF(F169&lt;&gt;"",1+MAX($B$21:B168),"")</f>
        <v/>
      </c>
      <c r="C169" s="68"/>
      <c r="D169" s="74" t="s">
        <v>164</v>
      </c>
      <c r="E169" s="14"/>
      <c r="F169" s="19"/>
      <c r="G169" s="48"/>
      <c r="H169" s="48">
        <f t="shared" si="61"/>
        <v>0</v>
      </c>
      <c r="I169" s="48">
        <f t="shared" si="62"/>
        <v>0</v>
      </c>
      <c r="J169" s="49"/>
      <c r="K169" s="50">
        <f t="shared" si="63"/>
        <v>0</v>
      </c>
      <c r="L169" s="50"/>
      <c r="M169" s="48"/>
      <c r="N169" s="48">
        <f t="shared" si="64"/>
        <v>0</v>
      </c>
      <c r="O169" s="48">
        <f t="shared" si="65"/>
        <v>0</v>
      </c>
      <c r="P169" s="48">
        <f t="shared" si="66"/>
        <v>0</v>
      </c>
      <c r="Q169" s="48">
        <f t="shared" si="67"/>
        <v>0</v>
      </c>
      <c r="R169" s="41">
        <f t="shared" si="68"/>
        <v>0</v>
      </c>
    </row>
    <row r="170" spans="2:18" x14ac:dyDescent="0.2">
      <c r="B170" s="61">
        <f>IF(F170&lt;&gt;"",1+MAX($B$21:B169),"")</f>
        <v>89</v>
      </c>
      <c r="C170" s="198" t="s">
        <v>505</v>
      </c>
      <c r="D170" s="73" t="s">
        <v>380</v>
      </c>
      <c r="E170" s="14" t="s">
        <v>74</v>
      </c>
      <c r="F170" s="19">
        <f>3.83*2+233</f>
        <v>240.66</v>
      </c>
      <c r="G170" s="12">
        <v>0.6885</v>
      </c>
      <c r="H170" s="12">
        <f t="shared" si="61"/>
        <v>0.65545199999999992</v>
      </c>
      <c r="I170" s="12">
        <f t="shared" si="62"/>
        <v>157.74107831999999</v>
      </c>
      <c r="J170" s="11">
        <v>1.95E-2</v>
      </c>
      <c r="K170" s="7">
        <f t="shared" si="63"/>
        <v>4.6928700000000001</v>
      </c>
      <c r="L170" s="28" t="s">
        <v>1052</v>
      </c>
      <c r="M170" s="29">
        <v>53.15</v>
      </c>
      <c r="N170" s="48">
        <f t="shared" si="64"/>
        <v>38.852649999999997</v>
      </c>
      <c r="O170" s="48">
        <f t="shared" si="65"/>
        <v>0.75762667499999992</v>
      </c>
      <c r="P170" s="48">
        <f t="shared" si="66"/>
        <v>182.33043560549999</v>
      </c>
      <c r="Q170" s="48">
        <f t="shared" si="67"/>
        <v>340.07151392549997</v>
      </c>
      <c r="R170" s="41">
        <f t="shared" si="68"/>
        <v>480.45517337509648</v>
      </c>
    </row>
    <row r="171" spans="2:18" x14ac:dyDescent="0.2">
      <c r="B171" s="61">
        <f>IF(F171&lt;&gt;"",1+MAX($B$21:B170),"")</f>
        <v>90</v>
      </c>
      <c r="C171" s="197"/>
      <c r="D171" s="73" t="s">
        <v>381</v>
      </c>
      <c r="E171" s="14" t="s">
        <v>74</v>
      </c>
      <c r="F171" s="19">
        <v>10</v>
      </c>
      <c r="G171" s="12">
        <v>0.91799999999999993</v>
      </c>
      <c r="H171" s="12">
        <f t="shared" si="61"/>
        <v>0.87393599999999994</v>
      </c>
      <c r="I171" s="12">
        <f t="shared" si="62"/>
        <v>8.7393599999999996</v>
      </c>
      <c r="J171" s="11">
        <v>2.5999999999999999E-2</v>
      </c>
      <c r="K171" s="7">
        <f t="shared" si="63"/>
        <v>0.26</v>
      </c>
      <c r="L171" s="28" t="s">
        <v>1052</v>
      </c>
      <c r="M171" s="29">
        <v>53.15</v>
      </c>
      <c r="N171" s="48">
        <f t="shared" si="64"/>
        <v>38.852649999999997</v>
      </c>
      <c r="O171" s="48">
        <f t="shared" si="65"/>
        <v>1.0101688999999998</v>
      </c>
      <c r="P171" s="48">
        <f t="shared" si="66"/>
        <v>10.101688999999999</v>
      </c>
      <c r="Q171" s="48">
        <f t="shared" si="67"/>
        <v>18.841048999999998</v>
      </c>
      <c r="R171" s="41">
        <f t="shared" si="68"/>
        <v>26.618752506999996</v>
      </c>
    </row>
    <row r="172" spans="2:18" x14ac:dyDescent="0.2">
      <c r="B172" s="61">
        <f>IF(F172&lt;&gt;"",1+MAX($B$21:B171),"")</f>
        <v>91</v>
      </c>
      <c r="C172" s="198" t="s">
        <v>320</v>
      </c>
      <c r="D172" s="73" t="s">
        <v>397</v>
      </c>
      <c r="E172" s="14" t="s">
        <v>74</v>
      </c>
      <c r="F172" s="19">
        <v>46</v>
      </c>
      <c r="G172" s="12">
        <v>0.91799999999999993</v>
      </c>
      <c r="H172" s="12">
        <f t="shared" si="61"/>
        <v>0.87393599999999994</v>
      </c>
      <c r="I172" s="12">
        <f t="shared" si="62"/>
        <v>40.201055999999994</v>
      </c>
      <c r="J172" s="11">
        <v>2.5999999999999999E-2</v>
      </c>
      <c r="K172" s="7">
        <f t="shared" si="63"/>
        <v>1.196</v>
      </c>
      <c r="L172" s="28" t="s">
        <v>1052</v>
      </c>
      <c r="M172" s="29">
        <v>53.15</v>
      </c>
      <c r="N172" s="48">
        <f t="shared" si="64"/>
        <v>38.852649999999997</v>
      </c>
      <c r="O172" s="48">
        <f t="shared" si="65"/>
        <v>1.0101688999999998</v>
      </c>
      <c r="P172" s="48">
        <f t="shared" si="66"/>
        <v>46.467769399999995</v>
      </c>
      <c r="Q172" s="48">
        <f t="shared" si="67"/>
        <v>86.668825399999989</v>
      </c>
      <c r="R172" s="41">
        <f t="shared" si="68"/>
        <v>122.44626153219998</v>
      </c>
    </row>
    <row r="173" spans="2:18" x14ac:dyDescent="0.2">
      <c r="B173" s="61">
        <f>IF(F173&lt;&gt;"",1+MAX($B$21:B172),"")</f>
        <v>92</v>
      </c>
      <c r="C173" s="196"/>
      <c r="D173" s="73" t="s">
        <v>398</v>
      </c>
      <c r="E173" s="14" t="s">
        <v>74</v>
      </c>
      <c r="F173" s="19">
        <v>46</v>
      </c>
      <c r="G173" s="12">
        <v>0.95850000000000002</v>
      </c>
      <c r="H173" s="12">
        <f t="shared" si="61"/>
        <v>0.91249199999999997</v>
      </c>
      <c r="I173" s="12">
        <f t="shared" si="62"/>
        <v>41.974632</v>
      </c>
      <c r="J173" s="11">
        <v>2.8000000000000001E-2</v>
      </c>
      <c r="K173" s="7">
        <f t="shared" si="63"/>
        <v>1.288</v>
      </c>
      <c r="L173" s="28" t="s">
        <v>1052</v>
      </c>
      <c r="M173" s="29">
        <v>53.15</v>
      </c>
      <c r="N173" s="48">
        <f t="shared" si="64"/>
        <v>38.852649999999997</v>
      </c>
      <c r="O173" s="48">
        <f t="shared" si="65"/>
        <v>1.0878741999999999</v>
      </c>
      <c r="P173" s="48">
        <f t="shared" si="66"/>
        <v>50.042213199999992</v>
      </c>
      <c r="Q173" s="48">
        <f t="shared" si="67"/>
        <v>92.016845199999992</v>
      </c>
      <c r="R173" s="41">
        <f t="shared" si="68"/>
        <v>130.02361436119998</v>
      </c>
    </row>
    <row r="174" spans="2:18" x14ac:dyDescent="0.2">
      <c r="B174" s="61">
        <f>IF(F174&lt;&gt;"",1+MAX($B$21:B173),"")</f>
        <v>93</v>
      </c>
      <c r="C174" s="196"/>
      <c r="D174" s="73" t="s">
        <v>402</v>
      </c>
      <c r="E174" s="14" t="s">
        <v>74</v>
      </c>
      <c r="F174" s="19">
        <v>15</v>
      </c>
      <c r="G174" s="12">
        <v>3.1320000000000001</v>
      </c>
      <c r="H174" s="12">
        <f t="shared" si="61"/>
        <v>2.9816639999999999</v>
      </c>
      <c r="I174" s="12">
        <f t="shared" ref="I174" si="69">F174*H174</f>
        <v>44.724959999999996</v>
      </c>
      <c r="J174" s="11">
        <v>0.06</v>
      </c>
      <c r="K174" s="7">
        <f t="shared" ref="K174" si="70">F174*J174</f>
        <v>0.89999999999999991</v>
      </c>
      <c r="L174" s="28" t="s">
        <v>1052</v>
      </c>
      <c r="M174" s="29">
        <v>53.15</v>
      </c>
      <c r="N174" s="48">
        <f t="shared" si="64"/>
        <v>38.852649999999997</v>
      </c>
      <c r="O174" s="48">
        <f t="shared" si="65"/>
        <v>2.3311589999999995</v>
      </c>
      <c r="P174" s="48">
        <f t="shared" si="66"/>
        <v>34.967384999999993</v>
      </c>
      <c r="Q174" s="48">
        <f t="shared" si="67"/>
        <v>79.692344999999989</v>
      </c>
      <c r="R174" s="41">
        <f t="shared" si="68"/>
        <v>112.35239253899998</v>
      </c>
    </row>
    <row r="175" spans="2:18" x14ac:dyDescent="0.2">
      <c r="B175" s="61">
        <f>IF(F175&lt;&gt;"",1+MAX($B$21:B174),"")</f>
        <v>94</v>
      </c>
      <c r="C175" s="196"/>
      <c r="D175" s="73" t="s">
        <v>403</v>
      </c>
      <c r="E175" s="14" t="s">
        <v>74</v>
      </c>
      <c r="F175" s="19">
        <v>148</v>
      </c>
      <c r="G175" s="12">
        <v>1.6065</v>
      </c>
      <c r="H175" s="12">
        <f t="shared" si="61"/>
        <v>1.529388</v>
      </c>
      <c r="I175" s="12">
        <f t="shared" si="62"/>
        <v>226.349424</v>
      </c>
      <c r="J175" s="11">
        <v>4.5999999999999999E-2</v>
      </c>
      <c r="K175" s="7">
        <f t="shared" si="63"/>
        <v>6.8079999999999998</v>
      </c>
      <c r="L175" s="28" t="s">
        <v>1052</v>
      </c>
      <c r="M175" s="29">
        <v>53.15</v>
      </c>
      <c r="N175" s="48">
        <f t="shared" si="64"/>
        <v>38.852649999999997</v>
      </c>
      <c r="O175" s="48">
        <f t="shared" si="65"/>
        <v>1.7872218999999998</v>
      </c>
      <c r="P175" s="48">
        <f t="shared" si="66"/>
        <v>264.50884119999995</v>
      </c>
      <c r="Q175" s="48">
        <f t="shared" si="67"/>
        <v>490.85826519999995</v>
      </c>
      <c r="R175" s="41">
        <f t="shared" si="68"/>
        <v>693.52845206599989</v>
      </c>
    </row>
    <row r="176" spans="2:18" x14ac:dyDescent="0.2">
      <c r="B176" s="61">
        <f>IF(F176&lt;&gt;"",1+MAX($B$21:B175),"")</f>
        <v>95</v>
      </c>
      <c r="C176" s="196"/>
      <c r="D176" s="73" t="s">
        <v>404</v>
      </c>
      <c r="E176" s="14" t="s">
        <v>74</v>
      </c>
      <c r="F176" s="19">
        <v>40</v>
      </c>
      <c r="G176" s="12">
        <v>2.7405000000000004</v>
      </c>
      <c r="H176" s="12">
        <f t="shared" si="61"/>
        <v>2.6089560000000001</v>
      </c>
      <c r="I176" s="12">
        <f t="shared" si="62"/>
        <v>104.35824</v>
      </c>
      <c r="J176" s="11">
        <v>5.8999999999999997E-2</v>
      </c>
      <c r="K176" s="7">
        <f t="shared" si="63"/>
        <v>2.36</v>
      </c>
      <c r="L176" s="28" t="s">
        <v>1052</v>
      </c>
      <c r="M176" s="29">
        <v>53.15</v>
      </c>
      <c r="N176" s="48">
        <f t="shared" si="64"/>
        <v>38.852649999999997</v>
      </c>
      <c r="O176" s="48">
        <f t="shared" si="65"/>
        <v>2.2923063499999996</v>
      </c>
      <c r="P176" s="48">
        <f t="shared" si="66"/>
        <v>91.692253999999991</v>
      </c>
      <c r="Q176" s="48">
        <f t="shared" si="67"/>
        <v>196.05049399999999</v>
      </c>
      <c r="R176" s="41">
        <f t="shared" si="68"/>
        <v>276.57069279399997</v>
      </c>
    </row>
    <row r="177" spans="1:18" x14ac:dyDescent="0.2">
      <c r="B177" s="61">
        <f>IF(F177&lt;&gt;"",1+MAX($B$21:B176),"")</f>
        <v>96</v>
      </c>
      <c r="C177" s="197"/>
      <c r="D177" s="73" t="s">
        <v>405</v>
      </c>
      <c r="E177" s="14" t="s">
        <v>74</v>
      </c>
      <c r="F177" s="19">
        <v>40</v>
      </c>
      <c r="G177" s="12">
        <v>0.71887500000000004</v>
      </c>
      <c r="H177" s="12">
        <f t="shared" si="61"/>
        <v>0.68436900000000001</v>
      </c>
      <c r="I177" s="12">
        <f t="shared" si="62"/>
        <v>27.374760000000002</v>
      </c>
      <c r="J177" s="11">
        <v>2.1000000000000001E-2</v>
      </c>
      <c r="K177" s="7">
        <f t="shared" si="63"/>
        <v>0.84000000000000008</v>
      </c>
      <c r="L177" s="28" t="s">
        <v>1052</v>
      </c>
      <c r="M177" s="29">
        <v>53.15</v>
      </c>
      <c r="N177" s="48">
        <f t="shared" si="64"/>
        <v>38.852649999999997</v>
      </c>
      <c r="O177" s="48">
        <f t="shared" si="65"/>
        <v>0.81590565000000004</v>
      </c>
      <c r="P177" s="48">
        <f t="shared" si="66"/>
        <v>32.636226000000001</v>
      </c>
      <c r="Q177" s="48">
        <f t="shared" si="67"/>
        <v>60.010986000000003</v>
      </c>
      <c r="R177" s="41">
        <f t="shared" si="68"/>
        <v>84.798009366000002</v>
      </c>
    </row>
    <row r="178" spans="1:18" x14ac:dyDescent="0.2">
      <c r="A178" s="8" t="s">
        <v>428</v>
      </c>
      <c r="B178" s="61">
        <f>IF(F178&lt;&gt;"",1+MAX($B$21:B177),"")</f>
        <v>97</v>
      </c>
      <c r="C178" s="66" t="s">
        <v>443</v>
      </c>
      <c r="D178" s="73" t="s">
        <v>429</v>
      </c>
      <c r="E178" s="14" t="s">
        <v>74</v>
      </c>
      <c r="F178" s="19">
        <v>8.7799999999999994</v>
      </c>
      <c r="G178" s="12">
        <v>0.85199999999999998</v>
      </c>
      <c r="H178" s="12">
        <f t="shared" si="61"/>
        <v>0.81110399999999994</v>
      </c>
      <c r="I178" s="12">
        <f t="shared" si="62"/>
        <v>7.1214931199999993</v>
      </c>
      <c r="J178" s="11">
        <v>2.8000000000000001E-2</v>
      </c>
      <c r="K178" s="7">
        <f t="shared" si="63"/>
        <v>0.24583999999999998</v>
      </c>
      <c r="L178" s="28" t="s">
        <v>1052</v>
      </c>
      <c r="M178" s="29">
        <v>53.15</v>
      </c>
      <c r="N178" s="48">
        <f t="shared" si="64"/>
        <v>38.852649999999997</v>
      </c>
      <c r="O178" s="48">
        <f t="shared" si="65"/>
        <v>1.0878741999999999</v>
      </c>
      <c r="P178" s="48">
        <f t="shared" si="66"/>
        <v>9.551535475999998</v>
      </c>
      <c r="Q178" s="48">
        <f t="shared" si="67"/>
        <v>16.673028595999998</v>
      </c>
      <c r="R178" s="41">
        <f t="shared" si="68"/>
        <v>23.574494117019995</v>
      </c>
    </row>
    <row r="179" spans="1:18" x14ac:dyDescent="0.2">
      <c r="B179" s="61" t="str">
        <f>IF(F179&lt;&gt;"",1+MAX($B$21:B178),"")</f>
        <v/>
      </c>
      <c r="C179" s="67"/>
      <c r="D179" s="73"/>
      <c r="E179" s="14"/>
      <c r="F179" s="19"/>
      <c r="G179" s="48"/>
      <c r="H179" s="48">
        <f t="shared" si="61"/>
        <v>0</v>
      </c>
      <c r="I179" s="48">
        <f t="shared" si="62"/>
        <v>0</v>
      </c>
      <c r="J179" s="49"/>
      <c r="K179" s="50">
        <f t="shared" si="63"/>
        <v>0</v>
      </c>
      <c r="L179" s="50"/>
      <c r="M179" s="48"/>
      <c r="N179" s="48">
        <f t="shared" si="64"/>
        <v>0</v>
      </c>
      <c r="O179" s="48">
        <f t="shared" si="65"/>
        <v>0</v>
      </c>
      <c r="P179" s="48">
        <f t="shared" si="66"/>
        <v>0</v>
      </c>
      <c r="Q179" s="48">
        <f t="shared" si="67"/>
        <v>0</v>
      </c>
      <c r="R179" s="41">
        <f t="shared" si="68"/>
        <v>0</v>
      </c>
    </row>
    <row r="180" spans="1:18" x14ac:dyDescent="0.2">
      <c r="B180" s="62" t="str">
        <f>IF(F180&lt;&gt;"",1+MAX($B$21:B179),"")</f>
        <v/>
      </c>
      <c r="C180" s="68"/>
      <c r="D180" s="74" t="s">
        <v>123</v>
      </c>
      <c r="E180" s="14"/>
      <c r="F180" s="19"/>
      <c r="G180" s="48"/>
      <c r="H180" s="48">
        <f t="shared" si="61"/>
        <v>0</v>
      </c>
      <c r="I180" s="48">
        <f t="shared" si="62"/>
        <v>0</v>
      </c>
      <c r="J180" s="49"/>
      <c r="K180" s="50">
        <f t="shared" si="63"/>
        <v>0</v>
      </c>
      <c r="L180" s="50"/>
      <c r="M180" s="48"/>
      <c r="N180" s="48">
        <f t="shared" si="64"/>
        <v>0</v>
      </c>
      <c r="O180" s="48">
        <f t="shared" si="65"/>
        <v>0</v>
      </c>
      <c r="P180" s="48">
        <f t="shared" si="66"/>
        <v>0</v>
      </c>
      <c r="Q180" s="48">
        <f t="shared" si="67"/>
        <v>0</v>
      </c>
      <c r="R180" s="41">
        <f t="shared" si="68"/>
        <v>0</v>
      </c>
    </row>
    <row r="181" spans="1:18" x14ac:dyDescent="0.2">
      <c r="B181" s="61" t="str">
        <f>IF(F181&lt;&gt;"",1+MAX($B$21:B180),"")</f>
        <v/>
      </c>
      <c r="C181" s="67"/>
      <c r="D181" s="73"/>
      <c r="E181" s="14"/>
      <c r="F181" s="19"/>
      <c r="G181" s="48"/>
      <c r="H181" s="48">
        <f t="shared" si="61"/>
        <v>0</v>
      </c>
      <c r="I181" s="48">
        <f t="shared" si="62"/>
        <v>0</v>
      </c>
      <c r="J181" s="49"/>
      <c r="K181" s="50">
        <f t="shared" si="63"/>
        <v>0</v>
      </c>
      <c r="L181" s="50"/>
      <c r="M181" s="48"/>
      <c r="N181" s="48">
        <f t="shared" si="64"/>
        <v>0</v>
      </c>
      <c r="O181" s="48">
        <f t="shared" si="65"/>
        <v>0</v>
      </c>
      <c r="P181" s="48">
        <f t="shared" si="66"/>
        <v>0</v>
      </c>
      <c r="Q181" s="48">
        <f t="shared" si="67"/>
        <v>0</v>
      </c>
      <c r="R181" s="41">
        <f t="shared" si="68"/>
        <v>0</v>
      </c>
    </row>
    <row r="182" spans="1:18" ht="38.25" x14ac:dyDescent="0.2">
      <c r="B182" s="61" t="str">
        <f>IF(F182&lt;&gt;"",1+MAX($B$21:B181),"")</f>
        <v/>
      </c>
      <c r="C182" s="67"/>
      <c r="D182" s="76" t="s">
        <v>1036</v>
      </c>
      <c r="E182" s="14"/>
      <c r="F182" s="19"/>
      <c r="G182" s="48"/>
      <c r="H182" s="48">
        <f t="shared" si="61"/>
        <v>0</v>
      </c>
      <c r="I182" s="48">
        <f t="shared" si="62"/>
        <v>0</v>
      </c>
      <c r="J182" s="49"/>
      <c r="K182" s="50">
        <f t="shared" si="63"/>
        <v>0</v>
      </c>
      <c r="L182" s="50"/>
      <c r="M182" s="48"/>
      <c r="N182" s="48">
        <f t="shared" si="64"/>
        <v>0</v>
      </c>
      <c r="O182" s="48">
        <f t="shared" si="65"/>
        <v>0</v>
      </c>
      <c r="P182" s="48">
        <f t="shared" si="66"/>
        <v>0</v>
      </c>
      <c r="Q182" s="48">
        <f t="shared" si="67"/>
        <v>0</v>
      </c>
      <c r="R182" s="41">
        <f t="shared" si="68"/>
        <v>0</v>
      </c>
    </row>
    <row r="183" spans="1:18" x14ac:dyDescent="0.2">
      <c r="B183" s="61" t="str">
        <f>IF(F183&lt;&gt;"",1+MAX($B$21:B182),"")</f>
        <v/>
      </c>
      <c r="C183" s="67"/>
      <c r="D183" s="73"/>
      <c r="E183" s="14"/>
      <c r="F183" s="19"/>
      <c r="G183" s="48"/>
      <c r="H183" s="48">
        <f t="shared" si="61"/>
        <v>0</v>
      </c>
      <c r="I183" s="48">
        <f t="shared" si="62"/>
        <v>0</v>
      </c>
      <c r="J183" s="49"/>
      <c r="K183" s="50">
        <f t="shared" si="63"/>
        <v>0</v>
      </c>
      <c r="L183" s="50"/>
      <c r="M183" s="48"/>
      <c r="N183" s="48">
        <f t="shared" si="64"/>
        <v>0</v>
      </c>
      <c r="O183" s="48">
        <f t="shared" si="65"/>
        <v>0</v>
      </c>
      <c r="P183" s="48">
        <f t="shared" si="66"/>
        <v>0</v>
      </c>
      <c r="Q183" s="48">
        <f t="shared" si="67"/>
        <v>0</v>
      </c>
      <c r="R183" s="41">
        <f t="shared" si="68"/>
        <v>0</v>
      </c>
    </row>
    <row r="184" spans="1:18" x14ac:dyDescent="0.2">
      <c r="B184" s="61" t="str">
        <f>IF(F184&lt;&gt;"",1+MAX($B$21:B183),"")</f>
        <v/>
      </c>
      <c r="C184" s="67"/>
      <c r="D184" s="75" t="s">
        <v>159</v>
      </c>
      <c r="E184" s="14"/>
      <c r="F184" s="19"/>
      <c r="G184" s="48"/>
      <c r="H184" s="48">
        <f t="shared" si="61"/>
        <v>0</v>
      </c>
      <c r="I184" s="48">
        <f t="shared" si="62"/>
        <v>0</v>
      </c>
      <c r="J184" s="49"/>
      <c r="K184" s="50">
        <f t="shared" si="63"/>
        <v>0</v>
      </c>
      <c r="L184" s="50"/>
      <c r="M184" s="48"/>
      <c r="N184" s="48">
        <f t="shared" si="64"/>
        <v>0</v>
      </c>
      <c r="O184" s="48">
        <f t="shared" si="65"/>
        <v>0</v>
      </c>
      <c r="P184" s="48">
        <f t="shared" si="66"/>
        <v>0</v>
      </c>
      <c r="Q184" s="48">
        <f t="shared" si="67"/>
        <v>0</v>
      </c>
      <c r="R184" s="41">
        <f t="shared" si="68"/>
        <v>0</v>
      </c>
    </row>
    <row r="185" spans="1:18" ht="25.5" x14ac:dyDescent="0.2">
      <c r="B185" s="61">
        <f>IF(F185&lt;&gt;"",1+MAX($B$21:B184),"")</f>
        <v>98</v>
      </c>
      <c r="C185" s="67" t="s">
        <v>160</v>
      </c>
      <c r="D185" s="73" t="s">
        <v>163</v>
      </c>
      <c r="E185" s="14" t="s">
        <v>79</v>
      </c>
      <c r="F185" s="19">
        <v>1</v>
      </c>
      <c r="G185" s="12">
        <v>1657.33</v>
      </c>
      <c r="H185" s="12">
        <f t="shared" si="61"/>
        <v>1577.7781599999998</v>
      </c>
      <c r="I185" s="12">
        <f t="shared" si="62"/>
        <v>1577.7781599999998</v>
      </c>
      <c r="J185" s="11">
        <v>3.2530000000000001</v>
      </c>
      <c r="K185" s="7">
        <f t="shared" si="63"/>
        <v>3.2530000000000001</v>
      </c>
      <c r="L185" s="28" t="s">
        <v>1052</v>
      </c>
      <c r="M185" s="29">
        <v>53.15</v>
      </c>
      <c r="N185" s="48">
        <f t="shared" si="64"/>
        <v>38.852649999999997</v>
      </c>
      <c r="O185" s="48">
        <f t="shared" si="65"/>
        <v>126.38767045</v>
      </c>
      <c r="P185" s="48">
        <f t="shared" si="66"/>
        <v>126.38767045</v>
      </c>
      <c r="Q185" s="48">
        <f t="shared" si="67"/>
        <v>1704.1658304499999</v>
      </c>
      <c r="R185" s="41">
        <f t="shared" si="68"/>
        <v>2383.56462835615</v>
      </c>
    </row>
    <row r="186" spans="1:18" x14ac:dyDescent="0.2">
      <c r="B186" s="61" t="str">
        <f>IF(F186&lt;&gt;"",1+MAX($B$21:B185),"")</f>
        <v/>
      </c>
      <c r="C186" s="67"/>
      <c r="D186" s="73"/>
      <c r="E186" s="14"/>
      <c r="F186" s="19"/>
      <c r="G186" s="48"/>
      <c r="H186" s="48">
        <f t="shared" si="61"/>
        <v>0</v>
      </c>
      <c r="I186" s="48">
        <f t="shared" si="62"/>
        <v>0</v>
      </c>
      <c r="J186" s="49"/>
      <c r="K186" s="50">
        <f t="shared" si="63"/>
        <v>0</v>
      </c>
      <c r="L186" s="50"/>
      <c r="M186" s="48"/>
      <c r="N186" s="48">
        <f t="shared" si="64"/>
        <v>0</v>
      </c>
      <c r="O186" s="48">
        <f t="shared" si="65"/>
        <v>0</v>
      </c>
      <c r="P186" s="48">
        <f t="shared" si="66"/>
        <v>0</v>
      </c>
      <c r="Q186" s="48">
        <f t="shared" si="67"/>
        <v>0</v>
      </c>
      <c r="R186" s="41">
        <f t="shared" si="68"/>
        <v>0</v>
      </c>
    </row>
    <row r="187" spans="1:18" x14ac:dyDescent="0.2">
      <c r="B187" s="61" t="str">
        <f>IF(F187&lt;&gt;"",1+MAX($B$21:B186),"")</f>
        <v/>
      </c>
      <c r="C187" s="198" t="s">
        <v>171</v>
      </c>
      <c r="D187" s="75" t="s">
        <v>161</v>
      </c>
      <c r="E187" s="14"/>
      <c r="F187" s="19"/>
      <c r="G187" s="48"/>
      <c r="H187" s="48">
        <f t="shared" si="61"/>
        <v>0</v>
      </c>
      <c r="I187" s="48">
        <f t="shared" si="62"/>
        <v>0</v>
      </c>
      <c r="J187" s="49"/>
      <c r="K187" s="50">
        <f t="shared" si="63"/>
        <v>0</v>
      </c>
      <c r="L187" s="50"/>
      <c r="M187" s="48"/>
      <c r="N187" s="48">
        <f t="shared" si="64"/>
        <v>0</v>
      </c>
      <c r="O187" s="48">
        <f t="shared" si="65"/>
        <v>0</v>
      </c>
      <c r="P187" s="48">
        <f t="shared" si="66"/>
        <v>0</v>
      </c>
      <c r="Q187" s="48">
        <f t="shared" si="67"/>
        <v>0</v>
      </c>
      <c r="R187" s="41">
        <f t="shared" si="68"/>
        <v>0</v>
      </c>
    </row>
    <row r="188" spans="1:18" ht="38.25" x14ac:dyDescent="0.2">
      <c r="B188" s="61">
        <f>IF(F188&lt;&gt;"",1+MAX($B$21:B187),"")</f>
        <v>99</v>
      </c>
      <c r="C188" s="196"/>
      <c r="D188" s="73" t="s">
        <v>162</v>
      </c>
      <c r="E188" s="14" t="s">
        <v>74</v>
      </c>
      <c r="F188" s="19">
        <v>3.83</v>
      </c>
      <c r="G188" s="12">
        <v>199.34</v>
      </c>
      <c r="H188" s="12">
        <f t="shared" si="61"/>
        <v>189.77168</v>
      </c>
      <c r="I188" s="12">
        <f t="shared" si="62"/>
        <v>726.82553440000004</v>
      </c>
      <c r="J188" s="11">
        <v>0.309</v>
      </c>
      <c r="K188" s="7">
        <f t="shared" si="63"/>
        <v>1.18347</v>
      </c>
      <c r="L188" s="28" t="s">
        <v>1052</v>
      </c>
      <c r="M188" s="29">
        <v>53.15</v>
      </c>
      <c r="N188" s="48">
        <f t="shared" si="64"/>
        <v>38.852649999999997</v>
      </c>
      <c r="O188" s="48">
        <f t="shared" si="65"/>
        <v>12.00546885</v>
      </c>
      <c r="P188" s="48">
        <f t="shared" si="66"/>
        <v>45.980945695499997</v>
      </c>
      <c r="Q188" s="48">
        <f t="shared" si="67"/>
        <v>772.80648009550009</v>
      </c>
      <c r="R188" s="41">
        <f t="shared" si="68"/>
        <v>1080.5539857436386</v>
      </c>
    </row>
    <row r="189" spans="1:18" ht="38.25" x14ac:dyDescent="0.2">
      <c r="B189" s="61">
        <f>IF(F189&lt;&gt;"",1+MAX($B$21:B188),"")</f>
        <v>100</v>
      </c>
      <c r="C189" s="196"/>
      <c r="D189" s="73" t="s">
        <v>165</v>
      </c>
      <c r="E189" s="14" t="s">
        <v>74</v>
      </c>
      <c r="F189" s="19">
        <f>2.33+2.33</f>
        <v>4.66</v>
      </c>
      <c r="G189" s="12">
        <v>196.84</v>
      </c>
      <c r="H189" s="12">
        <f t="shared" si="61"/>
        <v>187.39168000000001</v>
      </c>
      <c r="I189" s="12">
        <f t="shared" si="62"/>
        <v>873.24522880000006</v>
      </c>
      <c r="J189" s="11">
        <v>0.30599999999999999</v>
      </c>
      <c r="K189" s="7">
        <f t="shared" si="63"/>
        <v>1.4259600000000001</v>
      </c>
      <c r="L189" s="28" t="s">
        <v>1052</v>
      </c>
      <c r="M189" s="29">
        <v>53.15</v>
      </c>
      <c r="N189" s="48">
        <f t="shared" si="64"/>
        <v>38.852649999999997</v>
      </c>
      <c r="O189" s="48">
        <f t="shared" si="65"/>
        <v>11.888910899999999</v>
      </c>
      <c r="P189" s="48">
        <f t="shared" si="66"/>
        <v>55.402324793999995</v>
      </c>
      <c r="Q189" s="48">
        <f t="shared" si="67"/>
        <v>928.6475535940001</v>
      </c>
      <c r="R189" s="41">
        <f t="shared" si="68"/>
        <v>1298.458754977358</v>
      </c>
    </row>
    <row r="190" spans="1:18" x14ac:dyDescent="0.2">
      <c r="B190" s="61">
        <f>IF(F190&lt;&gt;"",1+MAX($B$21:B189),"")</f>
        <v>101</v>
      </c>
      <c r="C190" s="196"/>
      <c r="D190" s="73" t="s">
        <v>166</v>
      </c>
      <c r="E190" s="14" t="s">
        <v>79</v>
      </c>
      <c r="F190" s="19">
        <v>1</v>
      </c>
      <c r="G190" s="12">
        <v>154.75</v>
      </c>
      <c r="H190" s="12">
        <f t="shared" si="61"/>
        <v>147.322</v>
      </c>
      <c r="I190" s="12">
        <f t="shared" si="62"/>
        <v>147.322</v>
      </c>
      <c r="J190" s="11">
        <v>0.373</v>
      </c>
      <c r="K190" s="7">
        <f t="shared" si="63"/>
        <v>0.373</v>
      </c>
      <c r="L190" s="28" t="s">
        <v>1052</v>
      </c>
      <c r="M190" s="29">
        <v>53.15</v>
      </c>
      <c r="N190" s="48">
        <f t="shared" si="64"/>
        <v>38.852649999999997</v>
      </c>
      <c r="O190" s="48">
        <f t="shared" si="65"/>
        <v>14.492038449999999</v>
      </c>
      <c r="P190" s="48">
        <f t="shared" si="66"/>
        <v>14.492038449999999</v>
      </c>
      <c r="Q190" s="48">
        <f t="shared" si="67"/>
        <v>161.81403845</v>
      </c>
      <c r="R190" s="41">
        <f t="shared" si="68"/>
        <v>226.40057966814999</v>
      </c>
    </row>
    <row r="191" spans="1:18" x14ac:dyDescent="0.2">
      <c r="B191" s="61">
        <f>IF(F191&lt;&gt;"",1+MAX($B$21:B190),"")</f>
        <v>102</v>
      </c>
      <c r="C191" s="196"/>
      <c r="D191" s="73" t="s">
        <v>506</v>
      </c>
      <c r="E191" s="14" t="s">
        <v>72</v>
      </c>
      <c r="F191" s="19">
        <v>7</v>
      </c>
      <c r="G191" s="48">
        <v>3.5</v>
      </c>
      <c r="H191" s="48">
        <f t="shared" si="61"/>
        <v>3.3319999999999999</v>
      </c>
      <c r="I191" s="48">
        <f t="shared" si="62"/>
        <v>23.323999999999998</v>
      </c>
      <c r="J191" s="49">
        <v>0.06</v>
      </c>
      <c r="K191" s="50">
        <f t="shared" si="63"/>
        <v>0.42</v>
      </c>
      <c r="L191" s="28" t="s">
        <v>1052</v>
      </c>
      <c r="M191" s="29">
        <v>53.15</v>
      </c>
      <c r="N191" s="48">
        <f t="shared" si="64"/>
        <v>38.852649999999997</v>
      </c>
      <c r="O191" s="48">
        <f t="shared" si="65"/>
        <v>2.3311589999999995</v>
      </c>
      <c r="P191" s="48">
        <f t="shared" si="66"/>
        <v>16.318112999999997</v>
      </c>
      <c r="Q191" s="48">
        <f t="shared" si="67"/>
        <v>39.642112999999995</v>
      </c>
      <c r="R191" s="41">
        <f t="shared" si="68"/>
        <v>55.855580850999999</v>
      </c>
    </row>
    <row r="192" spans="1:18" x14ac:dyDescent="0.2">
      <c r="B192" s="61">
        <f>IF(F192&lt;&gt;"",1+MAX($B$21:B191),"")</f>
        <v>103</v>
      </c>
      <c r="C192" s="196"/>
      <c r="D192" s="73" t="s">
        <v>167</v>
      </c>
      <c r="E192" s="14" t="s">
        <v>72</v>
      </c>
      <c r="F192" s="19">
        <v>38.5</v>
      </c>
      <c r="G192" s="48">
        <v>3.25</v>
      </c>
      <c r="H192" s="48">
        <f t="shared" si="61"/>
        <v>3.0939999999999999</v>
      </c>
      <c r="I192" s="48">
        <f t="shared" si="62"/>
        <v>119.119</v>
      </c>
      <c r="J192" s="49">
        <v>0.06</v>
      </c>
      <c r="K192" s="50">
        <f t="shared" si="63"/>
        <v>2.31</v>
      </c>
      <c r="L192" s="50" t="s">
        <v>1048</v>
      </c>
      <c r="M192" s="29">
        <v>53.15</v>
      </c>
      <c r="N192" s="48">
        <f t="shared" si="64"/>
        <v>38.852649999999997</v>
      </c>
      <c r="O192" s="48">
        <f t="shared" si="65"/>
        <v>2.3311589999999995</v>
      </c>
      <c r="P192" s="48">
        <f t="shared" si="66"/>
        <v>89.749621499999989</v>
      </c>
      <c r="Q192" s="48">
        <f t="shared" si="67"/>
        <v>208.86862149999999</v>
      </c>
      <c r="R192" s="41">
        <f t="shared" si="68"/>
        <v>294.41048148049998</v>
      </c>
    </row>
    <row r="193" spans="2:18" x14ac:dyDescent="0.2">
      <c r="B193" s="61">
        <f>IF(F193&lt;&gt;"",1+MAX($B$21:B192),"")</f>
        <v>104</v>
      </c>
      <c r="C193" s="196"/>
      <c r="D193" s="73" t="s">
        <v>168</v>
      </c>
      <c r="E193" s="14" t="s">
        <v>72</v>
      </c>
      <c r="F193" s="19">
        <v>6</v>
      </c>
      <c r="G193" s="48">
        <v>3.25</v>
      </c>
      <c r="H193" s="48">
        <f t="shared" si="61"/>
        <v>3.0939999999999999</v>
      </c>
      <c r="I193" s="48">
        <f t="shared" si="62"/>
        <v>18.564</v>
      </c>
      <c r="J193" s="49">
        <v>0.06</v>
      </c>
      <c r="K193" s="50">
        <f t="shared" si="63"/>
        <v>0.36</v>
      </c>
      <c r="L193" s="50" t="s">
        <v>1048</v>
      </c>
      <c r="M193" s="29">
        <v>53.15</v>
      </c>
      <c r="N193" s="48">
        <f t="shared" si="64"/>
        <v>38.852649999999997</v>
      </c>
      <c r="O193" s="48">
        <f t="shared" si="65"/>
        <v>2.3311589999999995</v>
      </c>
      <c r="P193" s="48">
        <f t="shared" si="66"/>
        <v>13.986953999999997</v>
      </c>
      <c r="Q193" s="48">
        <f t="shared" si="67"/>
        <v>32.550953999999997</v>
      </c>
      <c r="R193" s="41">
        <f t="shared" si="68"/>
        <v>45.882152957999999</v>
      </c>
    </row>
    <row r="194" spans="2:18" x14ac:dyDescent="0.2">
      <c r="B194" s="61">
        <f>IF(F194&lt;&gt;"",1+MAX($B$21:B193),"")</f>
        <v>105</v>
      </c>
      <c r="C194" s="196"/>
      <c r="D194" s="73" t="s">
        <v>169</v>
      </c>
      <c r="E194" s="14" t="s">
        <v>79</v>
      </c>
      <c r="F194" s="19">
        <v>3</v>
      </c>
      <c r="G194" s="48">
        <v>45.95</v>
      </c>
      <c r="H194" s="48">
        <f t="shared" si="61"/>
        <v>43.744399999999999</v>
      </c>
      <c r="I194" s="48">
        <f t="shared" si="62"/>
        <v>131.23320000000001</v>
      </c>
      <c r="J194" s="49">
        <v>0.5</v>
      </c>
      <c r="K194" s="50">
        <f t="shared" si="63"/>
        <v>1.5</v>
      </c>
      <c r="L194" s="50" t="s">
        <v>1048</v>
      </c>
      <c r="M194" s="29">
        <v>53.15</v>
      </c>
      <c r="N194" s="48">
        <f t="shared" si="64"/>
        <v>38.852649999999997</v>
      </c>
      <c r="O194" s="48">
        <f t="shared" si="65"/>
        <v>19.426324999999999</v>
      </c>
      <c r="P194" s="48">
        <f t="shared" si="66"/>
        <v>58.278974999999996</v>
      </c>
      <c r="Q194" s="48">
        <f t="shared" si="67"/>
        <v>189.51217500000001</v>
      </c>
      <c r="R194" s="41">
        <f t="shared" si="68"/>
        <v>266.41813780500001</v>
      </c>
    </row>
    <row r="195" spans="2:18" x14ac:dyDescent="0.2">
      <c r="B195" s="61">
        <f>IF(F195&lt;&gt;"",1+MAX($B$21:B194),"")</f>
        <v>106</v>
      </c>
      <c r="C195" s="197"/>
      <c r="D195" s="73" t="s">
        <v>170</v>
      </c>
      <c r="E195" s="14" t="s">
        <v>79</v>
      </c>
      <c r="F195" s="19">
        <v>1</v>
      </c>
      <c r="G195" s="48">
        <v>202.89</v>
      </c>
      <c r="H195" s="48">
        <f t="shared" si="61"/>
        <v>193.15127999999999</v>
      </c>
      <c r="I195" s="48">
        <f t="shared" si="62"/>
        <v>193.15127999999999</v>
      </c>
      <c r="J195" s="49">
        <v>1.2</v>
      </c>
      <c r="K195" s="50">
        <f t="shared" si="63"/>
        <v>1.2</v>
      </c>
      <c r="L195" s="50" t="s">
        <v>1048</v>
      </c>
      <c r="M195" s="29">
        <v>53.15</v>
      </c>
      <c r="N195" s="48">
        <f t="shared" si="64"/>
        <v>38.852649999999997</v>
      </c>
      <c r="O195" s="48">
        <f t="shared" si="65"/>
        <v>46.623179999999998</v>
      </c>
      <c r="P195" s="48">
        <f t="shared" si="66"/>
        <v>46.623179999999998</v>
      </c>
      <c r="Q195" s="48">
        <f t="shared" si="67"/>
        <v>239.77445999999998</v>
      </c>
      <c r="R195" s="41">
        <f t="shared" si="68"/>
        <v>336.24772525200001</v>
      </c>
    </row>
    <row r="196" spans="2:18" x14ac:dyDescent="0.2">
      <c r="B196" s="61" t="str">
        <f>IF(F196&lt;&gt;"",1+MAX($B$21:B195),"")</f>
        <v/>
      </c>
      <c r="C196" s="67"/>
      <c r="D196" s="73"/>
      <c r="E196" s="14"/>
      <c r="F196" s="19"/>
      <c r="G196" s="48"/>
      <c r="H196" s="48">
        <f t="shared" si="61"/>
        <v>0</v>
      </c>
      <c r="I196" s="48">
        <f t="shared" si="62"/>
        <v>0</v>
      </c>
      <c r="J196" s="49"/>
      <c r="K196" s="50">
        <f t="shared" si="63"/>
        <v>0</v>
      </c>
      <c r="L196" s="50"/>
      <c r="M196" s="48"/>
      <c r="N196" s="48">
        <f t="shared" si="64"/>
        <v>0</v>
      </c>
      <c r="O196" s="48">
        <f t="shared" si="65"/>
        <v>0</v>
      </c>
      <c r="P196" s="48">
        <f t="shared" si="66"/>
        <v>0</v>
      </c>
      <c r="Q196" s="48">
        <f t="shared" si="67"/>
        <v>0</v>
      </c>
      <c r="R196" s="41">
        <f t="shared" si="68"/>
        <v>0</v>
      </c>
    </row>
    <row r="197" spans="2:18" x14ac:dyDescent="0.2">
      <c r="B197" s="61" t="str">
        <f>IF(F197&lt;&gt;"",1+MAX($B$21:B196),"")</f>
        <v/>
      </c>
      <c r="C197" s="198" t="s">
        <v>178</v>
      </c>
      <c r="D197" s="75" t="s">
        <v>172</v>
      </c>
      <c r="E197" s="14"/>
      <c r="F197" s="19"/>
      <c r="G197" s="48"/>
      <c r="H197" s="48">
        <f t="shared" si="61"/>
        <v>0</v>
      </c>
      <c r="I197" s="48">
        <f t="shared" si="62"/>
        <v>0</v>
      </c>
      <c r="J197" s="49"/>
      <c r="K197" s="50">
        <f t="shared" si="63"/>
        <v>0</v>
      </c>
      <c r="L197" s="50"/>
      <c r="M197" s="48"/>
      <c r="N197" s="48">
        <f t="shared" si="64"/>
        <v>0</v>
      </c>
      <c r="O197" s="48">
        <f t="shared" si="65"/>
        <v>0</v>
      </c>
      <c r="P197" s="48">
        <f t="shared" si="66"/>
        <v>0</v>
      </c>
      <c r="Q197" s="48">
        <f t="shared" si="67"/>
        <v>0</v>
      </c>
      <c r="R197" s="41">
        <f t="shared" si="68"/>
        <v>0</v>
      </c>
    </row>
    <row r="198" spans="2:18" ht="25.5" x14ac:dyDescent="0.2">
      <c r="B198" s="61">
        <f>IF(F198&lt;&gt;"",1+MAX($B$21:B197),"")</f>
        <v>107</v>
      </c>
      <c r="C198" s="196"/>
      <c r="D198" s="73" t="s">
        <v>173</v>
      </c>
      <c r="E198" s="14" t="s">
        <v>74</v>
      </c>
      <c r="F198" s="19">
        <v>2.02</v>
      </c>
      <c r="G198" s="12">
        <v>316</v>
      </c>
      <c r="H198" s="12">
        <f t="shared" si="61"/>
        <v>300.83199999999999</v>
      </c>
      <c r="I198" s="12">
        <f t="shared" si="62"/>
        <v>607.68064000000004</v>
      </c>
      <c r="J198" s="11">
        <v>0.63500000000000001</v>
      </c>
      <c r="K198" s="7">
        <f t="shared" si="63"/>
        <v>1.2827</v>
      </c>
      <c r="L198" s="28" t="s">
        <v>1052</v>
      </c>
      <c r="M198" s="29">
        <v>53.15</v>
      </c>
      <c r="N198" s="48">
        <f t="shared" si="64"/>
        <v>38.852649999999997</v>
      </c>
      <c r="O198" s="48">
        <f t="shared" si="65"/>
        <v>24.671432749999997</v>
      </c>
      <c r="P198" s="48">
        <f t="shared" si="66"/>
        <v>49.836294154999997</v>
      </c>
      <c r="Q198" s="48">
        <f t="shared" si="67"/>
        <v>657.51693415500006</v>
      </c>
      <c r="R198" s="41">
        <f t="shared" si="68"/>
        <v>919.68163745518518</v>
      </c>
    </row>
    <row r="199" spans="2:18" ht="25.5" x14ac:dyDescent="0.2">
      <c r="B199" s="61">
        <f>IF(F199&lt;&gt;"",1+MAX($B$21:B198),"")</f>
        <v>108</v>
      </c>
      <c r="C199" s="196"/>
      <c r="D199" s="73" t="s">
        <v>175</v>
      </c>
      <c r="E199" s="14" t="s">
        <v>74</v>
      </c>
      <c r="F199" s="19">
        <v>5.66</v>
      </c>
      <c r="G199" s="12">
        <v>316</v>
      </c>
      <c r="H199" s="12">
        <f t="shared" si="61"/>
        <v>300.83199999999999</v>
      </c>
      <c r="I199" s="12">
        <f t="shared" si="62"/>
        <v>1702.70912</v>
      </c>
      <c r="J199" s="11">
        <v>0.63500000000000001</v>
      </c>
      <c r="K199" s="7">
        <f t="shared" si="63"/>
        <v>3.5941000000000001</v>
      </c>
      <c r="L199" s="28" t="s">
        <v>1052</v>
      </c>
      <c r="M199" s="29">
        <v>53.15</v>
      </c>
      <c r="N199" s="48">
        <f t="shared" si="64"/>
        <v>38.852649999999997</v>
      </c>
      <c r="O199" s="48">
        <f t="shared" si="65"/>
        <v>24.671432749999997</v>
      </c>
      <c r="P199" s="48">
        <f t="shared" si="66"/>
        <v>139.64030936499998</v>
      </c>
      <c r="Q199" s="48">
        <f t="shared" si="67"/>
        <v>1842.3494293649999</v>
      </c>
      <c r="R199" s="41">
        <f t="shared" si="68"/>
        <v>2576.9297366318551</v>
      </c>
    </row>
    <row r="200" spans="2:18" ht="25.5" x14ac:dyDescent="0.2">
      <c r="B200" s="61">
        <f>IF(F200&lt;&gt;"",1+MAX($B$21:B199),"")</f>
        <v>109</v>
      </c>
      <c r="C200" s="196"/>
      <c r="D200" s="73" t="s">
        <v>176</v>
      </c>
      <c r="E200" s="14" t="s">
        <v>74</v>
      </c>
      <c r="F200" s="19">
        <v>1</v>
      </c>
      <c r="G200" s="12">
        <v>316</v>
      </c>
      <c r="H200" s="12">
        <f t="shared" si="61"/>
        <v>300.83199999999999</v>
      </c>
      <c r="I200" s="12">
        <f t="shared" si="62"/>
        <v>300.83199999999999</v>
      </c>
      <c r="J200" s="11">
        <v>0.63500000000000001</v>
      </c>
      <c r="K200" s="7">
        <f t="shared" si="63"/>
        <v>0.63500000000000001</v>
      </c>
      <c r="L200" s="28" t="s">
        <v>1052</v>
      </c>
      <c r="M200" s="29">
        <v>53.15</v>
      </c>
      <c r="N200" s="48">
        <f t="shared" si="64"/>
        <v>38.852649999999997</v>
      </c>
      <c r="O200" s="48">
        <f t="shared" si="65"/>
        <v>24.671432749999997</v>
      </c>
      <c r="P200" s="48">
        <f t="shared" si="66"/>
        <v>24.671432749999997</v>
      </c>
      <c r="Q200" s="48">
        <f t="shared" si="67"/>
        <v>325.50343275</v>
      </c>
      <c r="R200" s="41">
        <f t="shared" si="68"/>
        <v>455.28793933425004</v>
      </c>
    </row>
    <row r="201" spans="2:18" x14ac:dyDescent="0.2">
      <c r="B201" s="61">
        <f>IF(F201&lt;&gt;"",1+MAX($B$21:B200),"")</f>
        <v>110</v>
      </c>
      <c r="C201" s="196"/>
      <c r="D201" s="73" t="s">
        <v>174</v>
      </c>
      <c r="E201" s="14" t="s">
        <v>74</v>
      </c>
      <c r="F201" s="19">
        <v>4</v>
      </c>
      <c r="G201" s="48">
        <v>4.6100000000000003</v>
      </c>
      <c r="H201" s="48">
        <f t="shared" si="61"/>
        <v>4.3887200000000002</v>
      </c>
      <c r="I201" s="48">
        <f t="shared" ref="I201:I203" si="71">F201*H201</f>
        <v>17.554880000000001</v>
      </c>
      <c r="J201" s="49">
        <v>7.4999999999999997E-2</v>
      </c>
      <c r="K201" s="50">
        <f t="shared" ref="K201:K203" si="72">F201*J201</f>
        <v>0.3</v>
      </c>
      <c r="L201" s="50" t="s">
        <v>1048</v>
      </c>
      <c r="M201" s="29">
        <v>53.15</v>
      </c>
      <c r="N201" s="48">
        <f t="shared" si="64"/>
        <v>38.852649999999997</v>
      </c>
      <c r="O201" s="48">
        <f t="shared" ref="O201:O202" si="73">J201*N201</f>
        <v>2.9139487499999999</v>
      </c>
      <c r="P201" s="48">
        <f t="shared" si="66"/>
        <v>11.655794999999999</v>
      </c>
      <c r="Q201" s="48">
        <f t="shared" si="67"/>
        <v>29.210675000000002</v>
      </c>
      <c r="R201" s="41">
        <f t="shared" si="68"/>
        <v>41.146453897000001</v>
      </c>
    </row>
    <row r="202" spans="2:18" x14ac:dyDescent="0.2">
      <c r="B202" s="61">
        <f>IF(F202&lt;&gt;"",1+MAX($B$21:B201),"")</f>
        <v>111</v>
      </c>
      <c r="C202" s="196"/>
      <c r="D202" s="73" t="s">
        <v>170</v>
      </c>
      <c r="E202" s="14" t="s">
        <v>79</v>
      </c>
      <c r="F202" s="19">
        <v>1</v>
      </c>
      <c r="G202" s="48">
        <v>202.89</v>
      </c>
      <c r="H202" s="48">
        <f t="shared" si="61"/>
        <v>193.15127999999999</v>
      </c>
      <c r="I202" s="48">
        <f t="shared" si="71"/>
        <v>193.15127999999999</v>
      </c>
      <c r="J202" s="49">
        <v>1.2</v>
      </c>
      <c r="K202" s="50">
        <f t="shared" si="72"/>
        <v>1.2</v>
      </c>
      <c r="L202" s="50" t="s">
        <v>1048</v>
      </c>
      <c r="M202" s="29">
        <v>53.15</v>
      </c>
      <c r="N202" s="48">
        <f t="shared" si="64"/>
        <v>38.852649999999997</v>
      </c>
      <c r="O202" s="48">
        <f t="shared" si="73"/>
        <v>46.623179999999998</v>
      </c>
      <c r="P202" s="48">
        <f t="shared" si="66"/>
        <v>46.623179999999998</v>
      </c>
      <c r="Q202" s="48">
        <f t="shared" si="67"/>
        <v>239.77445999999998</v>
      </c>
      <c r="R202" s="41">
        <f t="shared" si="68"/>
        <v>336.24772525200001</v>
      </c>
    </row>
    <row r="203" spans="2:18" x14ac:dyDescent="0.2">
      <c r="B203" s="61">
        <f>IF(F203&lt;&gt;"",1+MAX($B$21:B202),"")</f>
        <v>112</v>
      </c>
      <c r="C203" s="197"/>
      <c r="D203" s="73" t="s">
        <v>177</v>
      </c>
      <c r="E203" s="14" t="s">
        <v>72</v>
      </c>
      <c r="F203" s="19">
        <v>83</v>
      </c>
      <c r="G203" s="48">
        <v>3.75</v>
      </c>
      <c r="H203" s="48">
        <f t="shared" si="61"/>
        <v>3.57</v>
      </c>
      <c r="I203" s="48">
        <f t="shared" si="71"/>
        <v>296.31</v>
      </c>
      <c r="J203" s="49">
        <v>0.06</v>
      </c>
      <c r="K203" s="50">
        <f t="shared" si="72"/>
        <v>4.9799999999999995</v>
      </c>
      <c r="L203" s="50" t="s">
        <v>1048</v>
      </c>
      <c r="M203" s="29">
        <v>53.15</v>
      </c>
      <c r="N203" s="48">
        <f t="shared" si="64"/>
        <v>38.852649999999997</v>
      </c>
      <c r="O203" s="48">
        <f t="shared" si="65"/>
        <v>2.3311589999999995</v>
      </c>
      <c r="P203" s="48">
        <f t="shared" si="66"/>
        <v>193.48619699999995</v>
      </c>
      <c r="Q203" s="48">
        <f t="shared" si="67"/>
        <v>489.79619699999995</v>
      </c>
      <c r="R203" s="41">
        <f t="shared" si="68"/>
        <v>689.87208711899996</v>
      </c>
    </row>
    <row r="204" spans="2:18" x14ac:dyDescent="0.2">
      <c r="B204" s="61" t="str">
        <f>IF(F204&lt;&gt;"",1+MAX($B$21:B203),"")</f>
        <v/>
      </c>
      <c r="C204" s="67"/>
      <c r="D204" s="73"/>
      <c r="E204" s="14"/>
      <c r="F204" s="19"/>
      <c r="G204" s="48"/>
      <c r="H204" s="48">
        <f t="shared" si="61"/>
        <v>0</v>
      </c>
      <c r="I204" s="48">
        <f t="shared" si="62"/>
        <v>0</v>
      </c>
      <c r="J204" s="49"/>
      <c r="K204" s="50">
        <f t="shared" si="63"/>
        <v>0</v>
      </c>
      <c r="L204" s="50"/>
      <c r="M204" s="48"/>
      <c r="N204" s="48">
        <f t="shared" si="64"/>
        <v>0</v>
      </c>
      <c r="O204" s="48">
        <f t="shared" si="65"/>
        <v>0</v>
      </c>
      <c r="P204" s="48">
        <f t="shared" si="66"/>
        <v>0</v>
      </c>
      <c r="Q204" s="48">
        <f t="shared" si="67"/>
        <v>0</v>
      </c>
      <c r="R204" s="41">
        <f t="shared" si="68"/>
        <v>0</v>
      </c>
    </row>
    <row r="205" spans="2:18" x14ac:dyDescent="0.2">
      <c r="B205" s="61" t="str">
        <f>IF(F205&lt;&gt;"",1+MAX($B$21:B204),"")</f>
        <v/>
      </c>
      <c r="C205" s="198"/>
      <c r="D205" s="75" t="s">
        <v>183</v>
      </c>
      <c r="E205" s="14"/>
      <c r="F205" s="19"/>
      <c r="G205" s="48"/>
      <c r="H205" s="48">
        <f t="shared" si="61"/>
        <v>0</v>
      </c>
      <c r="I205" s="48">
        <f t="shared" si="62"/>
        <v>0</v>
      </c>
      <c r="J205" s="49"/>
      <c r="K205" s="50">
        <f t="shared" si="63"/>
        <v>0</v>
      </c>
      <c r="L205" s="50"/>
      <c r="M205" s="48"/>
      <c r="N205" s="48">
        <f t="shared" si="64"/>
        <v>0</v>
      </c>
      <c r="O205" s="48">
        <f t="shared" si="65"/>
        <v>0</v>
      </c>
      <c r="P205" s="48">
        <f t="shared" si="66"/>
        <v>0</v>
      </c>
      <c r="Q205" s="48">
        <f t="shared" si="67"/>
        <v>0</v>
      </c>
      <c r="R205" s="41">
        <f t="shared" si="68"/>
        <v>0</v>
      </c>
    </row>
    <row r="206" spans="2:18" x14ac:dyDescent="0.2">
      <c r="B206" s="61">
        <f>IF(F206&lt;&gt;"",1+MAX($B$21:B205),"")</f>
        <v>113</v>
      </c>
      <c r="C206" s="196"/>
      <c r="D206" s="73" t="s">
        <v>179</v>
      </c>
      <c r="E206" s="14" t="s">
        <v>74</v>
      </c>
      <c r="F206" s="19">
        <v>5.5</v>
      </c>
      <c r="G206" s="12">
        <v>253</v>
      </c>
      <c r="H206" s="12">
        <f t="shared" si="61"/>
        <v>240.85599999999999</v>
      </c>
      <c r="I206" s="12">
        <f t="shared" si="62"/>
        <v>1324.7080000000001</v>
      </c>
      <c r="J206" s="11">
        <v>0.53700000000000003</v>
      </c>
      <c r="K206" s="7">
        <f t="shared" si="63"/>
        <v>2.9535</v>
      </c>
      <c r="L206" s="28" t="s">
        <v>1052</v>
      </c>
      <c r="M206" s="29">
        <v>53.15</v>
      </c>
      <c r="N206" s="48">
        <f t="shared" si="64"/>
        <v>38.852649999999997</v>
      </c>
      <c r="O206" s="48">
        <f t="shared" si="65"/>
        <v>20.863873049999999</v>
      </c>
      <c r="P206" s="48">
        <f t="shared" si="66"/>
        <v>114.75130177499999</v>
      </c>
      <c r="Q206" s="48">
        <f t="shared" si="67"/>
        <v>1439.4593017750001</v>
      </c>
      <c r="R206" s="41">
        <f t="shared" si="68"/>
        <v>2013.5723588329251</v>
      </c>
    </row>
    <row r="207" spans="2:18" x14ac:dyDescent="0.2">
      <c r="B207" s="61">
        <f>IF(F207&lt;&gt;"",1+MAX($B$21:B206),"")</f>
        <v>114</v>
      </c>
      <c r="C207" s="196"/>
      <c r="D207" s="73" t="s">
        <v>180</v>
      </c>
      <c r="E207" s="14" t="s">
        <v>74</v>
      </c>
      <c r="F207" s="19">
        <v>19.5</v>
      </c>
      <c r="G207" s="12">
        <v>5.05</v>
      </c>
      <c r="H207" s="12">
        <f t="shared" si="61"/>
        <v>4.8075999999999999</v>
      </c>
      <c r="I207" s="12">
        <f t="shared" si="62"/>
        <v>93.748199999999997</v>
      </c>
      <c r="J207" s="11">
        <v>7.5999999999999998E-2</v>
      </c>
      <c r="K207" s="7">
        <f t="shared" si="63"/>
        <v>1.482</v>
      </c>
      <c r="L207" s="28" t="s">
        <v>1048</v>
      </c>
      <c r="M207" s="29">
        <v>53.15</v>
      </c>
      <c r="N207" s="48">
        <f t="shared" si="64"/>
        <v>38.852649999999997</v>
      </c>
      <c r="O207" s="48">
        <f t="shared" si="65"/>
        <v>2.9528013999999998</v>
      </c>
      <c r="P207" s="48">
        <f t="shared" si="66"/>
        <v>57.579627299999999</v>
      </c>
      <c r="Q207" s="48">
        <f t="shared" si="67"/>
        <v>151.3278273</v>
      </c>
      <c r="R207" s="41">
        <f t="shared" si="68"/>
        <v>213.07611463709998</v>
      </c>
    </row>
    <row r="208" spans="2:18" x14ac:dyDescent="0.2">
      <c r="B208" s="61">
        <f>IF(F208&lt;&gt;"",1+MAX($B$21:B207),"")</f>
        <v>115</v>
      </c>
      <c r="C208" s="196"/>
      <c r="D208" s="73" t="s">
        <v>181</v>
      </c>
      <c r="E208" s="14" t="s">
        <v>72</v>
      </c>
      <c r="F208" s="19">
        <v>5</v>
      </c>
      <c r="G208" s="48">
        <v>55.5</v>
      </c>
      <c r="H208" s="48">
        <f t="shared" si="61"/>
        <v>52.835999999999999</v>
      </c>
      <c r="I208" s="48">
        <f t="shared" si="62"/>
        <v>264.18</v>
      </c>
      <c r="J208" s="49">
        <v>0.14699999999999999</v>
      </c>
      <c r="K208" s="50">
        <f t="shared" si="63"/>
        <v>0.73499999999999999</v>
      </c>
      <c r="L208" s="50" t="s">
        <v>1052</v>
      </c>
      <c r="M208" s="29">
        <v>53.15</v>
      </c>
      <c r="N208" s="48">
        <f t="shared" si="64"/>
        <v>38.852649999999997</v>
      </c>
      <c r="O208" s="48">
        <f t="shared" si="65"/>
        <v>5.711339549999999</v>
      </c>
      <c r="P208" s="48">
        <f t="shared" si="66"/>
        <v>28.556697749999994</v>
      </c>
      <c r="Q208" s="48">
        <f t="shared" si="67"/>
        <v>292.73669775000002</v>
      </c>
      <c r="R208" s="41">
        <f t="shared" si="68"/>
        <v>409.65135968925006</v>
      </c>
    </row>
    <row r="209" spans="2:19" x14ac:dyDescent="0.2">
      <c r="B209" s="61">
        <f>IF(F209&lt;&gt;"",1+MAX($B$21:B208),"")</f>
        <v>116</v>
      </c>
      <c r="C209" s="197"/>
      <c r="D209" s="73" t="s">
        <v>182</v>
      </c>
      <c r="E209" s="14" t="s">
        <v>72</v>
      </c>
      <c r="F209" s="19">
        <v>96</v>
      </c>
      <c r="G209" s="48">
        <v>3.75</v>
      </c>
      <c r="H209" s="48">
        <f t="shared" si="61"/>
        <v>3.57</v>
      </c>
      <c r="I209" s="48">
        <f t="shared" si="62"/>
        <v>342.71999999999997</v>
      </c>
      <c r="J209" s="49">
        <v>0.06</v>
      </c>
      <c r="K209" s="50">
        <f t="shared" si="63"/>
        <v>5.76</v>
      </c>
      <c r="L209" s="50" t="s">
        <v>1048</v>
      </c>
      <c r="M209" s="29">
        <v>53.15</v>
      </c>
      <c r="N209" s="48">
        <f t="shared" si="64"/>
        <v>38.852649999999997</v>
      </c>
      <c r="O209" s="48">
        <f t="shared" si="65"/>
        <v>2.3311589999999995</v>
      </c>
      <c r="P209" s="48">
        <f t="shared" si="66"/>
        <v>223.79126399999996</v>
      </c>
      <c r="Q209" s="48">
        <f t="shared" si="67"/>
        <v>566.51126399999998</v>
      </c>
      <c r="R209" s="41">
        <f t="shared" si="68"/>
        <v>797.92434172799994</v>
      </c>
    </row>
    <row r="210" spans="2:19" x14ac:dyDescent="0.2">
      <c r="B210" s="61" t="str">
        <f>IF(F210&lt;&gt;"",1+MAX($B$21:B209),"")</f>
        <v/>
      </c>
      <c r="C210" s="67"/>
      <c r="D210" s="73"/>
      <c r="E210" s="14"/>
      <c r="F210" s="19"/>
      <c r="G210" s="48"/>
      <c r="H210" s="48">
        <f t="shared" si="61"/>
        <v>0</v>
      </c>
      <c r="I210" s="48">
        <f t="shared" si="62"/>
        <v>0</v>
      </c>
      <c r="J210" s="49"/>
      <c r="K210" s="50">
        <f t="shared" si="63"/>
        <v>0</v>
      </c>
      <c r="L210" s="50"/>
      <c r="M210" s="48"/>
      <c r="N210" s="48">
        <f t="shared" si="64"/>
        <v>0</v>
      </c>
      <c r="O210" s="48">
        <f t="shared" si="65"/>
        <v>0</v>
      </c>
      <c r="P210" s="48">
        <f t="shared" si="66"/>
        <v>0</v>
      </c>
      <c r="Q210" s="48">
        <f t="shared" si="67"/>
        <v>0</v>
      </c>
      <c r="R210" s="41">
        <f t="shared" si="68"/>
        <v>0</v>
      </c>
    </row>
    <row r="211" spans="2:19" x14ac:dyDescent="0.2">
      <c r="B211" s="61" t="str">
        <f>IF(F211&lt;&gt;"",1+MAX($B$21:B210),"")</f>
        <v/>
      </c>
      <c r="C211" s="198" t="s">
        <v>189</v>
      </c>
      <c r="D211" s="75" t="s">
        <v>184</v>
      </c>
      <c r="E211" s="14"/>
      <c r="F211" s="19"/>
      <c r="G211" s="48"/>
      <c r="H211" s="48">
        <f t="shared" si="61"/>
        <v>0</v>
      </c>
      <c r="I211" s="48">
        <f t="shared" si="62"/>
        <v>0</v>
      </c>
      <c r="J211" s="49"/>
      <c r="K211" s="50">
        <f t="shared" si="63"/>
        <v>0</v>
      </c>
      <c r="L211" s="50"/>
      <c r="M211" s="48"/>
      <c r="N211" s="48">
        <f t="shared" si="64"/>
        <v>0</v>
      </c>
      <c r="O211" s="48">
        <f t="shared" si="65"/>
        <v>0</v>
      </c>
      <c r="P211" s="48">
        <f t="shared" si="66"/>
        <v>0</v>
      </c>
      <c r="Q211" s="48">
        <f t="shared" si="67"/>
        <v>0</v>
      </c>
      <c r="R211" s="41">
        <f t="shared" si="68"/>
        <v>0</v>
      </c>
    </row>
    <row r="212" spans="2:19" x14ac:dyDescent="0.2">
      <c r="B212" s="61">
        <f>IF(F212&lt;&gt;"",1+MAX($B$21:B211),"")</f>
        <v>117</v>
      </c>
      <c r="C212" s="196"/>
      <c r="D212" s="73" t="s">
        <v>185</v>
      </c>
      <c r="E212" s="14" t="s">
        <v>74</v>
      </c>
      <c r="F212" s="19">
        <v>2.17</v>
      </c>
      <c r="G212" s="12">
        <v>298</v>
      </c>
      <c r="H212" s="12">
        <f t="shared" si="61"/>
        <v>283.69599999999997</v>
      </c>
      <c r="I212" s="12">
        <f t="shared" ref="I212:I215" si="74">F212*H212</f>
        <v>615.62031999999988</v>
      </c>
      <c r="J212" s="11">
        <v>0.60699999999999998</v>
      </c>
      <c r="K212" s="7">
        <f t="shared" ref="K212:K215" si="75">F212*J212</f>
        <v>1.3171899999999999</v>
      </c>
      <c r="L212" s="28" t="s">
        <v>1052</v>
      </c>
      <c r="M212" s="29">
        <v>53.15</v>
      </c>
      <c r="N212" s="48">
        <f t="shared" si="64"/>
        <v>38.852649999999997</v>
      </c>
      <c r="O212" s="48">
        <f t="shared" si="65"/>
        <v>23.583558549999999</v>
      </c>
      <c r="P212" s="48">
        <f t="shared" si="66"/>
        <v>51.176322053499995</v>
      </c>
      <c r="Q212" s="48">
        <f t="shared" si="67"/>
        <v>666.79664205349991</v>
      </c>
      <c r="R212" s="41">
        <f t="shared" si="68"/>
        <v>932.6808264183444</v>
      </c>
    </row>
    <row r="213" spans="2:19" x14ac:dyDescent="0.2">
      <c r="B213" s="61">
        <f>IF(F213&lt;&gt;"",1+MAX($B$21:B212),"")</f>
        <v>118</v>
      </c>
      <c r="C213" s="196"/>
      <c r="D213" s="73" t="s">
        <v>187</v>
      </c>
      <c r="E213" s="14" t="s">
        <v>74</v>
      </c>
      <c r="F213" s="19">
        <f>1.5*3</f>
        <v>4.5</v>
      </c>
      <c r="G213" s="12">
        <v>302.5</v>
      </c>
      <c r="H213" s="12">
        <f t="shared" si="61"/>
        <v>287.97999999999996</v>
      </c>
      <c r="I213" s="12">
        <f t="shared" si="74"/>
        <v>1295.9099999999999</v>
      </c>
      <c r="J213" s="11">
        <v>0.61399999999999999</v>
      </c>
      <c r="K213" s="7">
        <f t="shared" si="75"/>
        <v>2.7629999999999999</v>
      </c>
      <c r="L213" s="28" t="s">
        <v>1052</v>
      </c>
      <c r="M213" s="29">
        <v>53.15</v>
      </c>
      <c r="N213" s="48">
        <f t="shared" si="64"/>
        <v>38.852649999999997</v>
      </c>
      <c r="O213" s="48">
        <f t="shared" si="65"/>
        <v>23.855527099999996</v>
      </c>
      <c r="P213" s="48">
        <f t="shared" si="66"/>
        <v>107.34987194999998</v>
      </c>
      <c r="Q213" s="48">
        <f t="shared" si="67"/>
        <v>1403.2598719499999</v>
      </c>
      <c r="R213" s="41">
        <f t="shared" si="68"/>
        <v>1962.7969912726501</v>
      </c>
    </row>
    <row r="214" spans="2:19" x14ac:dyDescent="0.2">
      <c r="B214" s="61">
        <f>IF(F214&lt;&gt;"",1+MAX($B$21:B213),"")</f>
        <v>119</v>
      </c>
      <c r="C214" s="196"/>
      <c r="D214" s="73" t="s">
        <v>186</v>
      </c>
      <c r="E214" s="14" t="s">
        <v>74</v>
      </c>
      <c r="F214" s="19">
        <v>3</v>
      </c>
      <c r="G214" s="12">
        <v>302.5</v>
      </c>
      <c r="H214" s="12">
        <f t="shared" si="61"/>
        <v>287.97999999999996</v>
      </c>
      <c r="I214" s="12">
        <f t="shared" si="74"/>
        <v>863.93999999999983</v>
      </c>
      <c r="J214" s="11">
        <v>0.61399999999999999</v>
      </c>
      <c r="K214" s="7">
        <f t="shared" si="75"/>
        <v>1.8420000000000001</v>
      </c>
      <c r="L214" s="28" t="s">
        <v>1052</v>
      </c>
      <c r="M214" s="29">
        <v>53.15</v>
      </c>
      <c r="N214" s="48">
        <f t="shared" si="64"/>
        <v>38.852649999999997</v>
      </c>
      <c r="O214" s="48">
        <f t="shared" si="65"/>
        <v>23.855527099999996</v>
      </c>
      <c r="P214" s="48">
        <f t="shared" si="66"/>
        <v>71.566581299999996</v>
      </c>
      <c r="Q214" s="48">
        <f t="shared" si="67"/>
        <v>935.50658129999988</v>
      </c>
      <c r="R214" s="41">
        <f t="shared" si="68"/>
        <v>1308.5313275150997</v>
      </c>
      <c r="S214" s="143"/>
    </row>
    <row r="215" spans="2:19" x14ac:dyDescent="0.2">
      <c r="B215" s="61">
        <f>IF(F215&lt;&gt;"",1+MAX($B$21:B214),"")</f>
        <v>120</v>
      </c>
      <c r="C215" s="196"/>
      <c r="D215" s="73" t="s">
        <v>188</v>
      </c>
      <c r="E215" s="14" t="s">
        <v>74</v>
      </c>
      <c r="F215" s="19">
        <f>3.33+3.33+3</f>
        <v>9.66</v>
      </c>
      <c r="G215" s="12">
        <v>186</v>
      </c>
      <c r="H215" s="12">
        <f t="shared" si="61"/>
        <v>177.072</v>
      </c>
      <c r="I215" s="12">
        <f t="shared" si="74"/>
        <v>1710.5155200000002</v>
      </c>
      <c r="J215" s="11">
        <v>0.29499999999999998</v>
      </c>
      <c r="K215" s="7">
        <f t="shared" si="75"/>
        <v>2.8496999999999999</v>
      </c>
      <c r="L215" s="28" t="s">
        <v>1052</v>
      </c>
      <c r="M215" s="29">
        <v>53.15</v>
      </c>
      <c r="N215" s="48">
        <f t="shared" si="64"/>
        <v>38.852649999999997</v>
      </c>
      <c r="O215" s="48">
        <f t="shared" si="65"/>
        <v>11.461531749999999</v>
      </c>
      <c r="P215" s="48">
        <f t="shared" si="66"/>
        <v>110.71839670499999</v>
      </c>
      <c r="Q215" s="48">
        <f t="shared" si="67"/>
        <v>1821.2339167050002</v>
      </c>
      <c r="R215" s="41">
        <f t="shared" si="68"/>
        <v>2546.559024226035</v>
      </c>
    </row>
    <row r="216" spans="2:19" x14ac:dyDescent="0.2">
      <c r="B216" s="61">
        <f>IF(F216&lt;&gt;"",1+MAX($B$21:B215),"")</f>
        <v>121</v>
      </c>
      <c r="C216" s="197"/>
      <c r="D216" s="73" t="s">
        <v>174</v>
      </c>
      <c r="E216" s="14" t="s">
        <v>74</v>
      </c>
      <c r="F216" s="19">
        <f>3*2</f>
        <v>6</v>
      </c>
      <c r="G216" s="48">
        <v>4.6100000000000003</v>
      </c>
      <c r="H216" s="48">
        <f t="shared" si="61"/>
        <v>4.3887200000000002</v>
      </c>
      <c r="I216" s="48">
        <f t="shared" si="62"/>
        <v>26.332320000000003</v>
      </c>
      <c r="J216" s="49">
        <v>7.4999999999999997E-2</v>
      </c>
      <c r="K216" s="50">
        <f t="shared" si="63"/>
        <v>0.44999999999999996</v>
      </c>
      <c r="L216" s="50" t="s">
        <v>1048</v>
      </c>
      <c r="M216" s="29">
        <v>53.15</v>
      </c>
      <c r="N216" s="48">
        <f t="shared" si="64"/>
        <v>38.852649999999997</v>
      </c>
      <c r="O216" s="48">
        <f t="shared" si="65"/>
        <v>2.9139487499999999</v>
      </c>
      <c r="P216" s="48">
        <f t="shared" si="66"/>
        <v>17.4836925</v>
      </c>
      <c r="Q216" s="48">
        <f t="shared" si="67"/>
        <v>43.816012499999999</v>
      </c>
      <c r="R216" s="41">
        <f t="shared" si="68"/>
        <v>61.719680845500001</v>
      </c>
    </row>
    <row r="217" spans="2:19" x14ac:dyDescent="0.2">
      <c r="B217" s="61" t="str">
        <f>IF(F217&lt;&gt;"",1+MAX($B$21:B216),"")</f>
        <v/>
      </c>
      <c r="C217" s="67"/>
      <c r="D217" s="73"/>
      <c r="E217" s="14"/>
      <c r="F217" s="19"/>
      <c r="G217" s="48"/>
      <c r="H217" s="48">
        <f t="shared" si="61"/>
        <v>0</v>
      </c>
      <c r="I217" s="48">
        <f t="shared" si="62"/>
        <v>0</v>
      </c>
      <c r="J217" s="49"/>
      <c r="K217" s="50">
        <f t="shared" si="63"/>
        <v>0</v>
      </c>
      <c r="L217" s="50"/>
      <c r="M217" s="48"/>
      <c r="N217" s="48">
        <f t="shared" si="64"/>
        <v>0</v>
      </c>
      <c r="O217" s="48">
        <f t="shared" si="65"/>
        <v>0</v>
      </c>
      <c r="P217" s="48">
        <f t="shared" si="66"/>
        <v>0</v>
      </c>
      <c r="Q217" s="48">
        <f t="shared" si="67"/>
        <v>0</v>
      </c>
      <c r="R217" s="41">
        <f t="shared" si="68"/>
        <v>0</v>
      </c>
    </row>
    <row r="218" spans="2:19" x14ac:dyDescent="0.2">
      <c r="B218" s="61" t="str">
        <f>IF(F218&lt;&gt;"",1+MAX($B$21:B217),"")</f>
        <v/>
      </c>
      <c r="C218" s="198" t="s">
        <v>191</v>
      </c>
      <c r="D218" s="75" t="s">
        <v>192</v>
      </c>
      <c r="E218" s="14"/>
      <c r="F218" s="19"/>
      <c r="G218" s="48"/>
      <c r="H218" s="48">
        <f t="shared" si="61"/>
        <v>0</v>
      </c>
      <c r="I218" s="48">
        <f t="shared" si="62"/>
        <v>0</v>
      </c>
      <c r="J218" s="49"/>
      <c r="K218" s="50">
        <f t="shared" si="63"/>
        <v>0</v>
      </c>
      <c r="L218" s="50"/>
      <c r="M218" s="48"/>
      <c r="N218" s="48">
        <f t="shared" si="64"/>
        <v>0</v>
      </c>
      <c r="O218" s="48">
        <f t="shared" si="65"/>
        <v>0</v>
      </c>
      <c r="P218" s="48">
        <f t="shared" si="66"/>
        <v>0</v>
      </c>
      <c r="Q218" s="48">
        <f t="shared" si="67"/>
        <v>0</v>
      </c>
      <c r="R218" s="41">
        <f t="shared" si="68"/>
        <v>0</v>
      </c>
    </row>
    <row r="219" spans="2:19" x14ac:dyDescent="0.2">
      <c r="B219" s="61">
        <f>IF(F219&lt;&gt;"",1+MAX($B$21:B218),"")</f>
        <v>122</v>
      </c>
      <c r="C219" s="197"/>
      <c r="D219" s="73" t="s">
        <v>190</v>
      </c>
      <c r="E219" s="14" t="s">
        <v>74</v>
      </c>
      <c r="F219" s="19">
        <v>13</v>
      </c>
      <c r="G219" s="12">
        <v>270</v>
      </c>
      <c r="H219" s="12">
        <f t="shared" si="61"/>
        <v>257.03999999999996</v>
      </c>
      <c r="I219" s="12">
        <f t="shared" si="62"/>
        <v>3341.5199999999995</v>
      </c>
      <c r="J219" s="11">
        <v>1.4470000000000001</v>
      </c>
      <c r="K219" s="7">
        <f t="shared" si="63"/>
        <v>18.811</v>
      </c>
      <c r="L219" s="28" t="s">
        <v>1048</v>
      </c>
      <c r="M219" s="29">
        <v>53.15</v>
      </c>
      <c r="N219" s="48">
        <f t="shared" si="64"/>
        <v>38.852649999999997</v>
      </c>
      <c r="O219" s="48">
        <f t="shared" si="65"/>
        <v>56.21978455</v>
      </c>
      <c r="P219" s="48">
        <f t="shared" si="66"/>
        <v>730.85719915000004</v>
      </c>
      <c r="Q219" s="48">
        <f t="shared" si="67"/>
        <v>4072.3771991499998</v>
      </c>
      <c r="R219" s="41">
        <f t="shared" si="68"/>
        <v>5709.0317511870489</v>
      </c>
    </row>
    <row r="220" spans="2:19" x14ac:dyDescent="0.2">
      <c r="B220" s="61" t="str">
        <f>IF(F220&lt;&gt;"",1+MAX($B$21:B219),"")</f>
        <v/>
      </c>
      <c r="C220" s="67"/>
      <c r="D220" s="73"/>
      <c r="E220" s="14"/>
      <c r="F220" s="19"/>
      <c r="G220" s="48"/>
      <c r="H220" s="48">
        <f t="shared" ref="H220:H265" si="76">G220*$T$2</f>
        <v>0</v>
      </c>
      <c r="I220" s="48">
        <f t="shared" ref="I220:I265" si="77">F220*H220</f>
        <v>0</v>
      </c>
      <c r="J220" s="49"/>
      <c r="K220" s="50">
        <f t="shared" ref="K220:K265" si="78">F220*J220</f>
        <v>0</v>
      </c>
      <c r="L220" s="50"/>
      <c r="M220" s="48"/>
      <c r="N220" s="48">
        <f t="shared" ref="N220:N265" si="79">M220*$U$2</f>
        <v>0</v>
      </c>
      <c r="O220" s="48">
        <f t="shared" ref="O220:O265" si="80">J220*N220</f>
        <v>0</v>
      </c>
      <c r="P220" s="48">
        <f t="shared" ref="P220:P265" si="81">F220*O220</f>
        <v>0</v>
      </c>
      <c r="Q220" s="48">
        <f t="shared" ref="Q220:Q265" si="82">I220+P220</f>
        <v>0</v>
      </c>
      <c r="R220" s="41">
        <f t="shared" ref="R220:R265" si="83">Q220+(I220*$Q$7)+(P220*$Q$8)+(Q220*$Q$9)+(Q220*$Q$11)+($Q$10*(Q220+(I220*$Q$7)+(P220*$Q$8)+(Q220*$Q$9)))</f>
        <v>0</v>
      </c>
    </row>
    <row r="221" spans="2:19" x14ac:dyDescent="0.2">
      <c r="B221" s="61" t="str">
        <f>IF(F221&lt;&gt;"",1+MAX($B$21:B220),"")</f>
        <v/>
      </c>
      <c r="C221" s="198" t="s">
        <v>197</v>
      </c>
      <c r="D221" s="75" t="s">
        <v>194</v>
      </c>
      <c r="E221" s="14"/>
      <c r="F221" s="19"/>
      <c r="G221" s="48"/>
      <c r="H221" s="48">
        <f t="shared" si="76"/>
        <v>0</v>
      </c>
      <c r="I221" s="48">
        <f t="shared" si="77"/>
        <v>0</v>
      </c>
      <c r="J221" s="49"/>
      <c r="K221" s="50">
        <f t="shared" si="78"/>
        <v>0</v>
      </c>
      <c r="L221" s="50"/>
      <c r="M221" s="48"/>
      <c r="N221" s="48">
        <f t="shared" si="79"/>
        <v>0</v>
      </c>
      <c r="O221" s="48">
        <f t="shared" si="80"/>
        <v>0</v>
      </c>
      <c r="P221" s="48">
        <f t="shared" si="81"/>
        <v>0</v>
      </c>
      <c r="Q221" s="48">
        <f t="shared" si="82"/>
        <v>0</v>
      </c>
      <c r="R221" s="41">
        <f t="shared" si="83"/>
        <v>0</v>
      </c>
    </row>
    <row r="222" spans="2:19" x14ac:dyDescent="0.2">
      <c r="B222" s="61">
        <f>IF(F222&lt;&gt;"",1+MAX($B$21:B221),"")</f>
        <v>123</v>
      </c>
      <c r="C222" s="196"/>
      <c r="D222" s="73" t="s">
        <v>193</v>
      </c>
      <c r="E222" s="14" t="s">
        <v>79</v>
      </c>
      <c r="F222" s="19">
        <v>1</v>
      </c>
      <c r="G222" s="48">
        <v>950</v>
      </c>
      <c r="H222" s="48">
        <f t="shared" si="76"/>
        <v>904.4</v>
      </c>
      <c r="I222" s="48">
        <f t="shared" si="77"/>
        <v>904.4</v>
      </c>
      <c r="J222" s="49">
        <v>3</v>
      </c>
      <c r="K222" s="50">
        <f t="shared" si="78"/>
        <v>3</v>
      </c>
      <c r="L222" s="50" t="s">
        <v>1048</v>
      </c>
      <c r="M222" s="29">
        <v>53.15</v>
      </c>
      <c r="N222" s="48">
        <f t="shared" si="79"/>
        <v>38.852649999999997</v>
      </c>
      <c r="O222" s="48">
        <f t="shared" si="80"/>
        <v>116.55794999999999</v>
      </c>
      <c r="P222" s="48">
        <f t="shared" si="81"/>
        <v>116.55794999999999</v>
      </c>
      <c r="Q222" s="48">
        <f t="shared" si="82"/>
        <v>1020.95795</v>
      </c>
      <c r="R222" s="41">
        <f t="shared" si="83"/>
        <v>1429.2323546499999</v>
      </c>
    </row>
    <row r="223" spans="2:19" ht="51" x14ac:dyDescent="0.2">
      <c r="B223" s="61">
        <f>IF(F223&lt;&gt;"",1+MAX($B$21:B222),"")</f>
        <v>124</v>
      </c>
      <c r="C223" s="196"/>
      <c r="D223" s="73" t="s">
        <v>195</v>
      </c>
      <c r="E223" s="14" t="s">
        <v>79</v>
      </c>
      <c r="F223" s="19">
        <v>1</v>
      </c>
      <c r="G223" s="48">
        <v>550</v>
      </c>
      <c r="H223" s="48">
        <f t="shared" si="76"/>
        <v>523.6</v>
      </c>
      <c r="I223" s="48">
        <f t="shared" si="77"/>
        <v>523.6</v>
      </c>
      <c r="J223" s="49">
        <v>2.5</v>
      </c>
      <c r="K223" s="50">
        <f t="shared" si="78"/>
        <v>2.5</v>
      </c>
      <c r="L223" s="50" t="s">
        <v>1048</v>
      </c>
      <c r="M223" s="29">
        <v>53.15</v>
      </c>
      <c r="N223" s="48">
        <f t="shared" si="79"/>
        <v>38.852649999999997</v>
      </c>
      <c r="O223" s="48">
        <f t="shared" si="80"/>
        <v>97.131624999999985</v>
      </c>
      <c r="P223" s="48">
        <f t="shared" si="81"/>
        <v>97.131624999999985</v>
      </c>
      <c r="Q223" s="48">
        <f t="shared" si="82"/>
        <v>620.73162500000001</v>
      </c>
      <c r="R223" s="41">
        <f t="shared" si="83"/>
        <v>869.761868875</v>
      </c>
    </row>
    <row r="224" spans="2:19" ht="63.75" x14ac:dyDescent="0.2">
      <c r="B224" s="61">
        <f>IF(F224&lt;&gt;"",1+MAX($B$21:B223),"")</f>
        <v>125</v>
      </c>
      <c r="C224" s="197"/>
      <c r="D224" s="73" t="s">
        <v>196</v>
      </c>
      <c r="E224" s="14" t="s">
        <v>79</v>
      </c>
      <c r="F224" s="19">
        <v>2</v>
      </c>
      <c r="G224" s="48">
        <v>850</v>
      </c>
      <c r="H224" s="48">
        <f t="shared" si="76"/>
        <v>809.19999999999993</v>
      </c>
      <c r="I224" s="48">
        <f t="shared" si="77"/>
        <v>1618.3999999999999</v>
      </c>
      <c r="J224" s="49">
        <v>5</v>
      </c>
      <c r="K224" s="50">
        <f t="shared" si="78"/>
        <v>10</v>
      </c>
      <c r="L224" s="50" t="s">
        <v>1048</v>
      </c>
      <c r="M224" s="29">
        <v>53.15</v>
      </c>
      <c r="N224" s="48">
        <f t="shared" si="79"/>
        <v>38.852649999999997</v>
      </c>
      <c r="O224" s="48">
        <f t="shared" si="80"/>
        <v>194.26324999999997</v>
      </c>
      <c r="P224" s="48">
        <f t="shared" si="81"/>
        <v>388.52649999999994</v>
      </c>
      <c r="Q224" s="48">
        <f t="shared" si="82"/>
        <v>2006.9264999999998</v>
      </c>
      <c r="R224" s="41">
        <f t="shared" si="83"/>
        <v>2814.3610754999991</v>
      </c>
    </row>
    <row r="225" spans="2:19" x14ac:dyDescent="0.2">
      <c r="B225" s="61" t="str">
        <f>IF(F225&lt;&gt;"",1+MAX($B$21:B224),"")</f>
        <v/>
      </c>
      <c r="C225" s="67"/>
      <c r="D225" s="73"/>
      <c r="E225" s="14"/>
      <c r="F225" s="19"/>
      <c r="G225" s="48"/>
      <c r="H225" s="48">
        <f t="shared" si="76"/>
        <v>0</v>
      </c>
      <c r="I225" s="48">
        <f t="shared" si="77"/>
        <v>0</v>
      </c>
      <c r="J225" s="49"/>
      <c r="K225" s="50">
        <f t="shared" si="78"/>
        <v>0</v>
      </c>
      <c r="L225" s="50"/>
      <c r="M225" s="48"/>
      <c r="N225" s="48">
        <f t="shared" si="79"/>
        <v>0</v>
      </c>
      <c r="O225" s="48">
        <f t="shared" si="80"/>
        <v>0</v>
      </c>
      <c r="P225" s="48">
        <f t="shared" si="81"/>
        <v>0</v>
      </c>
      <c r="Q225" s="48">
        <f t="shared" si="82"/>
        <v>0</v>
      </c>
      <c r="R225" s="41">
        <f t="shared" si="83"/>
        <v>0</v>
      </c>
    </row>
    <row r="226" spans="2:19" x14ac:dyDescent="0.2">
      <c r="B226" s="61" t="str">
        <f>IF(F226&lt;&gt;"",1+MAX($B$21:B225),"")</f>
        <v/>
      </c>
      <c r="C226" s="198" t="s">
        <v>203</v>
      </c>
      <c r="D226" s="75" t="s">
        <v>198</v>
      </c>
      <c r="E226" s="14"/>
      <c r="F226" s="19"/>
      <c r="G226" s="48"/>
      <c r="H226" s="48">
        <f t="shared" si="76"/>
        <v>0</v>
      </c>
      <c r="I226" s="48">
        <f t="shared" si="77"/>
        <v>0</v>
      </c>
      <c r="J226" s="49"/>
      <c r="K226" s="50">
        <f t="shared" si="78"/>
        <v>0</v>
      </c>
      <c r="L226" s="50"/>
      <c r="M226" s="48"/>
      <c r="N226" s="48">
        <f t="shared" si="79"/>
        <v>0</v>
      </c>
      <c r="O226" s="48">
        <f t="shared" si="80"/>
        <v>0</v>
      </c>
      <c r="P226" s="48">
        <f t="shared" si="81"/>
        <v>0</v>
      </c>
      <c r="Q226" s="48">
        <f t="shared" si="82"/>
        <v>0</v>
      </c>
      <c r="R226" s="41">
        <f t="shared" si="83"/>
        <v>0</v>
      </c>
    </row>
    <row r="227" spans="2:19" x14ac:dyDescent="0.2">
      <c r="B227" s="61">
        <f>IF(F227&lt;&gt;"",1+MAX($B$21:B226),"")</f>
        <v>126</v>
      </c>
      <c r="C227" s="196"/>
      <c r="D227" s="73" t="s">
        <v>199</v>
      </c>
      <c r="E227" s="14" t="s">
        <v>74</v>
      </c>
      <c r="F227" s="19">
        <v>2.75</v>
      </c>
      <c r="G227" s="12">
        <v>183</v>
      </c>
      <c r="H227" s="12">
        <f t="shared" si="76"/>
        <v>174.21599999999998</v>
      </c>
      <c r="I227" s="12">
        <f t="shared" si="77"/>
        <v>479.09399999999994</v>
      </c>
      <c r="J227" s="11">
        <v>0.39200000000000002</v>
      </c>
      <c r="K227" s="7">
        <f t="shared" si="78"/>
        <v>1.0780000000000001</v>
      </c>
      <c r="L227" s="28" t="s">
        <v>1052</v>
      </c>
      <c r="M227" s="29">
        <v>53.15</v>
      </c>
      <c r="N227" s="48">
        <f t="shared" si="79"/>
        <v>38.852649999999997</v>
      </c>
      <c r="O227" s="48">
        <f t="shared" si="80"/>
        <v>15.230238799999999</v>
      </c>
      <c r="P227" s="48">
        <f t="shared" si="81"/>
        <v>41.883156699999994</v>
      </c>
      <c r="Q227" s="48">
        <f t="shared" si="82"/>
        <v>520.97715669999991</v>
      </c>
      <c r="R227" s="41">
        <f t="shared" si="83"/>
        <v>728.77412621089979</v>
      </c>
    </row>
    <row r="228" spans="2:19" x14ac:dyDescent="0.2">
      <c r="B228" s="61">
        <f>IF(F228&lt;&gt;"",1+MAX($B$21:B227),"")</f>
        <v>127</v>
      </c>
      <c r="C228" s="196"/>
      <c r="D228" s="73" t="s">
        <v>201</v>
      </c>
      <c r="E228" s="14" t="s">
        <v>74</v>
      </c>
      <c r="F228" s="19">
        <v>2.75</v>
      </c>
      <c r="G228" s="12">
        <v>307</v>
      </c>
      <c r="H228" s="12">
        <f t="shared" si="76"/>
        <v>292.26400000000001</v>
      </c>
      <c r="I228" s="12">
        <f t="shared" si="77"/>
        <v>803.726</v>
      </c>
      <c r="J228" s="11">
        <v>0.621</v>
      </c>
      <c r="K228" s="7">
        <f t="shared" si="78"/>
        <v>1.7077499999999999</v>
      </c>
      <c r="L228" s="28" t="s">
        <v>1052</v>
      </c>
      <c r="M228" s="29">
        <v>53.15</v>
      </c>
      <c r="N228" s="48">
        <f t="shared" si="79"/>
        <v>38.852649999999997</v>
      </c>
      <c r="O228" s="48">
        <f t="shared" si="80"/>
        <v>24.127495649999997</v>
      </c>
      <c r="P228" s="48">
        <f t="shared" si="81"/>
        <v>66.350613037499997</v>
      </c>
      <c r="Q228" s="48">
        <f t="shared" si="82"/>
        <v>870.07661303750001</v>
      </c>
      <c r="R228" s="41">
        <f t="shared" si="83"/>
        <v>1217.0053112045125</v>
      </c>
    </row>
    <row r="229" spans="2:19" x14ac:dyDescent="0.2">
      <c r="B229" s="61">
        <f>IF(F229&lt;&gt;"",1+MAX($B$21:B228),"")</f>
        <v>128</v>
      </c>
      <c r="C229" s="196"/>
      <c r="D229" s="73" t="s">
        <v>200</v>
      </c>
      <c r="E229" s="14" t="s">
        <v>74</v>
      </c>
      <c r="F229" s="19">
        <v>1.5</v>
      </c>
      <c r="G229" s="12">
        <v>307</v>
      </c>
      <c r="H229" s="12">
        <f t="shared" si="76"/>
        <v>292.26400000000001</v>
      </c>
      <c r="I229" s="12">
        <f t="shared" si="77"/>
        <v>438.39600000000002</v>
      </c>
      <c r="J229" s="11">
        <v>0.621</v>
      </c>
      <c r="K229" s="7">
        <f t="shared" si="78"/>
        <v>0.93149999999999999</v>
      </c>
      <c r="L229" s="28" t="s">
        <v>1052</v>
      </c>
      <c r="M229" s="29">
        <v>53.15</v>
      </c>
      <c r="N229" s="48">
        <f t="shared" si="79"/>
        <v>38.852649999999997</v>
      </c>
      <c r="O229" s="48">
        <f t="shared" si="80"/>
        <v>24.127495649999997</v>
      </c>
      <c r="P229" s="48">
        <f t="shared" si="81"/>
        <v>36.191243474999993</v>
      </c>
      <c r="Q229" s="48">
        <f t="shared" si="82"/>
        <v>474.58724347500004</v>
      </c>
      <c r="R229" s="41">
        <f t="shared" si="83"/>
        <v>663.82107883882509</v>
      </c>
      <c r="S229" s="143"/>
    </row>
    <row r="230" spans="2:19" x14ac:dyDescent="0.2">
      <c r="B230" s="61">
        <f>IF(F230&lt;&gt;"",1+MAX($B$21:B229),"")</f>
        <v>129</v>
      </c>
      <c r="C230" s="196"/>
      <c r="D230" s="73" t="s">
        <v>202</v>
      </c>
      <c r="E230" s="14" t="s">
        <v>74</v>
      </c>
      <c r="F230" s="19">
        <f>2.33+2.33+2.33+1.5</f>
        <v>8.49</v>
      </c>
      <c r="G230" s="12">
        <v>176</v>
      </c>
      <c r="H230" s="12">
        <f t="shared" si="76"/>
        <v>167.55199999999999</v>
      </c>
      <c r="I230" s="12">
        <f t="shared" si="77"/>
        <v>1422.51648</v>
      </c>
      <c r="J230" s="11">
        <v>0.28499999999999998</v>
      </c>
      <c r="K230" s="7">
        <f t="shared" si="78"/>
        <v>2.4196499999999999</v>
      </c>
      <c r="L230" s="28" t="s">
        <v>1052</v>
      </c>
      <c r="M230" s="29">
        <v>53.15</v>
      </c>
      <c r="N230" s="48">
        <f t="shared" si="79"/>
        <v>38.852649999999997</v>
      </c>
      <c r="O230" s="48">
        <f t="shared" si="80"/>
        <v>11.073005249999998</v>
      </c>
      <c r="P230" s="48">
        <f t="shared" si="81"/>
        <v>94.009814572499977</v>
      </c>
      <c r="Q230" s="48">
        <f t="shared" si="82"/>
        <v>1516.5262945724999</v>
      </c>
      <c r="R230" s="41">
        <f t="shared" si="83"/>
        <v>2120.5540180669573</v>
      </c>
    </row>
    <row r="231" spans="2:19" x14ac:dyDescent="0.2">
      <c r="B231" s="61">
        <f>IF(F231&lt;&gt;"",1+MAX($B$21:B230),"")</f>
        <v>130</v>
      </c>
      <c r="C231" s="197"/>
      <c r="D231" s="73" t="s">
        <v>204</v>
      </c>
      <c r="E231" s="14" t="s">
        <v>72</v>
      </c>
      <c r="F231" s="19">
        <v>18</v>
      </c>
      <c r="G231" s="48">
        <v>44</v>
      </c>
      <c r="H231" s="48">
        <f t="shared" si="76"/>
        <v>41.887999999999998</v>
      </c>
      <c r="I231" s="48">
        <f t="shared" si="77"/>
        <v>753.98399999999992</v>
      </c>
      <c r="J231" s="49">
        <v>0.14699999999999999</v>
      </c>
      <c r="K231" s="50">
        <f t="shared" si="78"/>
        <v>2.6459999999999999</v>
      </c>
      <c r="L231" s="28" t="s">
        <v>1052</v>
      </c>
      <c r="M231" s="29">
        <v>53.15</v>
      </c>
      <c r="N231" s="48">
        <f t="shared" si="79"/>
        <v>38.852649999999997</v>
      </c>
      <c r="O231" s="48">
        <f t="shared" si="80"/>
        <v>5.711339549999999</v>
      </c>
      <c r="P231" s="48">
        <f t="shared" si="81"/>
        <v>102.80411189999998</v>
      </c>
      <c r="Q231" s="48">
        <f t="shared" si="82"/>
        <v>856.78811189999988</v>
      </c>
      <c r="R231" s="41">
        <f t="shared" si="83"/>
        <v>1199.5647252812998</v>
      </c>
    </row>
    <row r="232" spans="2:19" x14ac:dyDescent="0.2">
      <c r="B232" s="61" t="str">
        <f>IF(F232&lt;&gt;"",1+MAX($B$21:B231),"")</f>
        <v/>
      </c>
      <c r="C232" s="67"/>
      <c r="D232" s="73"/>
      <c r="E232" s="14"/>
      <c r="F232" s="19"/>
      <c r="G232" s="48"/>
      <c r="H232" s="48">
        <f t="shared" si="76"/>
        <v>0</v>
      </c>
      <c r="I232" s="48">
        <f t="shared" si="77"/>
        <v>0</v>
      </c>
      <c r="J232" s="49"/>
      <c r="K232" s="50">
        <f t="shared" si="78"/>
        <v>0</v>
      </c>
      <c r="L232" s="50"/>
      <c r="M232" s="48"/>
      <c r="N232" s="48">
        <f t="shared" si="79"/>
        <v>0</v>
      </c>
      <c r="O232" s="48">
        <f t="shared" si="80"/>
        <v>0</v>
      </c>
      <c r="P232" s="48">
        <f t="shared" si="81"/>
        <v>0</v>
      </c>
      <c r="Q232" s="48">
        <f t="shared" si="82"/>
        <v>0</v>
      </c>
      <c r="R232" s="41">
        <f t="shared" si="83"/>
        <v>0</v>
      </c>
    </row>
    <row r="233" spans="2:19" x14ac:dyDescent="0.2">
      <c r="B233" s="61" t="str">
        <f>IF(F233&lt;&gt;"",1+MAX($B$21:B232),"")</f>
        <v/>
      </c>
      <c r="C233" s="198" t="s">
        <v>215</v>
      </c>
      <c r="D233" s="75" t="s">
        <v>205</v>
      </c>
      <c r="E233" s="14"/>
      <c r="F233" s="19"/>
      <c r="G233" s="48"/>
      <c r="H233" s="48">
        <f t="shared" si="76"/>
        <v>0</v>
      </c>
      <c r="I233" s="48">
        <f t="shared" si="77"/>
        <v>0</v>
      </c>
      <c r="J233" s="49"/>
      <c r="K233" s="50">
        <f t="shared" si="78"/>
        <v>0</v>
      </c>
      <c r="L233" s="50"/>
      <c r="M233" s="48"/>
      <c r="N233" s="48">
        <f t="shared" si="79"/>
        <v>0</v>
      </c>
      <c r="O233" s="48">
        <f t="shared" si="80"/>
        <v>0</v>
      </c>
      <c r="P233" s="48">
        <f t="shared" si="81"/>
        <v>0</v>
      </c>
      <c r="Q233" s="48">
        <f t="shared" si="82"/>
        <v>0</v>
      </c>
      <c r="R233" s="41">
        <f t="shared" si="83"/>
        <v>0</v>
      </c>
    </row>
    <row r="234" spans="2:19" ht="25.5" x14ac:dyDescent="0.2">
      <c r="B234" s="61">
        <f>IF(F234&lt;&gt;"",1+MAX($B$21:B233),"")</f>
        <v>131</v>
      </c>
      <c r="C234" s="196"/>
      <c r="D234" s="73" t="s">
        <v>209</v>
      </c>
      <c r="E234" s="14" t="s">
        <v>74</v>
      </c>
      <c r="F234" s="19">
        <v>1.5</v>
      </c>
      <c r="G234" s="12">
        <v>307</v>
      </c>
      <c r="H234" s="12">
        <f t="shared" si="76"/>
        <v>292.26400000000001</v>
      </c>
      <c r="I234" s="12">
        <f t="shared" si="77"/>
        <v>438.39600000000002</v>
      </c>
      <c r="J234" s="11">
        <v>0.621</v>
      </c>
      <c r="K234" s="7">
        <f t="shared" si="78"/>
        <v>0.93149999999999999</v>
      </c>
      <c r="L234" s="28" t="s">
        <v>1052</v>
      </c>
      <c r="M234" s="29">
        <v>53.15</v>
      </c>
      <c r="N234" s="48">
        <f t="shared" si="79"/>
        <v>38.852649999999997</v>
      </c>
      <c r="O234" s="48">
        <f t="shared" si="80"/>
        <v>24.127495649999997</v>
      </c>
      <c r="P234" s="48">
        <f t="shared" si="81"/>
        <v>36.191243474999993</v>
      </c>
      <c r="Q234" s="48">
        <f t="shared" si="82"/>
        <v>474.58724347500004</v>
      </c>
      <c r="R234" s="41">
        <f t="shared" si="83"/>
        <v>663.82107883882509</v>
      </c>
    </row>
    <row r="235" spans="2:19" x14ac:dyDescent="0.2">
      <c r="B235" s="61">
        <f>IF(F235&lt;&gt;"",1+MAX($B$21:B234),"")</f>
        <v>132</v>
      </c>
      <c r="C235" s="196"/>
      <c r="D235" s="73" t="s">
        <v>210</v>
      </c>
      <c r="E235" s="14" t="s">
        <v>74</v>
      </c>
      <c r="F235" s="19">
        <v>2.5</v>
      </c>
      <c r="G235" s="12">
        <v>343</v>
      </c>
      <c r="H235" s="12">
        <f t="shared" si="76"/>
        <v>326.536</v>
      </c>
      <c r="I235" s="12">
        <f t="shared" si="77"/>
        <v>816.34</v>
      </c>
      <c r="J235" s="11">
        <v>0.67700000000000005</v>
      </c>
      <c r="K235" s="7">
        <f t="shared" si="78"/>
        <v>1.6925000000000001</v>
      </c>
      <c r="L235" s="28" t="s">
        <v>1052</v>
      </c>
      <c r="M235" s="29">
        <v>53.15</v>
      </c>
      <c r="N235" s="48">
        <f t="shared" si="79"/>
        <v>38.852649999999997</v>
      </c>
      <c r="O235" s="48">
        <f t="shared" si="80"/>
        <v>26.30324405</v>
      </c>
      <c r="P235" s="48">
        <f t="shared" si="81"/>
        <v>65.758110125000002</v>
      </c>
      <c r="Q235" s="48">
        <f t="shared" si="82"/>
        <v>882.09811012500006</v>
      </c>
      <c r="R235" s="41">
        <f t="shared" si="83"/>
        <v>1233.7739991483752</v>
      </c>
    </row>
    <row r="236" spans="2:19" x14ac:dyDescent="0.2">
      <c r="B236" s="61">
        <f>IF(F236&lt;&gt;"",1+MAX($B$21:B235),"")</f>
        <v>133</v>
      </c>
      <c r="C236" s="196"/>
      <c r="D236" s="73" t="s">
        <v>211</v>
      </c>
      <c r="E236" s="14" t="s">
        <v>74</v>
      </c>
      <c r="F236" s="19">
        <v>1.25</v>
      </c>
      <c r="G236" s="12">
        <v>343</v>
      </c>
      <c r="H236" s="12">
        <f t="shared" si="76"/>
        <v>326.536</v>
      </c>
      <c r="I236" s="12">
        <f t="shared" si="77"/>
        <v>408.17</v>
      </c>
      <c r="J236" s="11">
        <v>0.67700000000000005</v>
      </c>
      <c r="K236" s="7">
        <f t="shared" si="78"/>
        <v>0.84625000000000006</v>
      </c>
      <c r="L236" s="28" t="s">
        <v>1052</v>
      </c>
      <c r="M236" s="29">
        <v>53.15</v>
      </c>
      <c r="N236" s="48">
        <f t="shared" si="79"/>
        <v>38.852649999999997</v>
      </c>
      <c r="O236" s="48">
        <f t="shared" si="80"/>
        <v>26.30324405</v>
      </c>
      <c r="P236" s="48">
        <f t="shared" si="81"/>
        <v>32.879055062500001</v>
      </c>
      <c r="Q236" s="48">
        <f t="shared" si="82"/>
        <v>441.04905506250003</v>
      </c>
      <c r="R236" s="41">
        <f t="shared" si="83"/>
        <v>616.8869995741876</v>
      </c>
      <c r="S236" s="143"/>
    </row>
    <row r="237" spans="2:19" x14ac:dyDescent="0.2">
      <c r="B237" s="61">
        <f>IF(F237&lt;&gt;"",1+MAX($B$21:B236),"")</f>
        <v>134</v>
      </c>
      <c r="C237" s="196"/>
      <c r="D237" s="73" t="s">
        <v>212</v>
      </c>
      <c r="E237" s="14" t="s">
        <v>74</v>
      </c>
      <c r="F237" s="19">
        <v>1.5</v>
      </c>
      <c r="G237" s="12">
        <v>343</v>
      </c>
      <c r="H237" s="12">
        <f t="shared" si="76"/>
        <v>326.536</v>
      </c>
      <c r="I237" s="12">
        <f t="shared" si="77"/>
        <v>489.80399999999997</v>
      </c>
      <c r="J237" s="11">
        <v>0.67700000000000005</v>
      </c>
      <c r="K237" s="7">
        <f t="shared" si="78"/>
        <v>1.0155000000000001</v>
      </c>
      <c r="L237" s="28" t="s">
        <v>1052</v>
      </c>
      <c r="M237" s="29">
        <v>53.15</v>
      </c>
      <c r="N237" s="48">
        <f t="shared" si="79"/>
        <v>38.852649999999997</v>
      </c>
      <c r="O237" s="48">
        <f t="shared" si="80"/>
        <v>26.30324405</v>
      </c>
      <c r="P237" s="48">
        <f t="shared" si="81"/>
        <v>39.454866074999998</v>
      </c>
      <c r="Q237" s="48">
        <f t="shared" si="82"/>
        <v>529.25886607500001</v>
      </c>
      <c r="R237" s="41">
        <f t="shared" si="83"/>
        <v>740.26439948902498</v>
      </c>
      <c r="S237" s="143"/>
    </row>
    <row r="238" spans="2:19" x14ac:dyDescent="0.2">
      <c r="B238" s="61">
        <f>IF(F238&lt;&gt;"",1+MAX($B$21:B237),"")</f>
        <v>135</v>
      </c>
      <c r="C238" s="196"/>
      <c r="D238" s="73" t="s">
        <v>213</v>
      </c>
      <c r="E238" s="14" t="s">
        <v>74</v>
      </c>
      <c r="F238" s="19">
        <v>11</v>
      </c>
      <c r="G238" s="12">
        <v>189.34</v>
      </c>
      <c r="H238" s="12">
        <f t="shared" si="76"/>
        <v>180.25167999999999</v>
      </c>
      <c r="I238" s="12">
        <f t="shared" si="77"/>
        <v>1982.76848</v>
      </c>
      <c r="J238" s="11">
        <v>0.29899999999999999</v>
      </c>
      <c r="K238" s="7">
        <f t="shared" si="78"/>
        <v>3.2889999999999997</v>
      </c>
      <c r="L238" s="28" t="s">
        <v>1052</v>
      </c>
      <c r="M238" s="29">
        <v>53.15</v>
      </c>
      <c r="N238" s="48">
        <f t="shared" si="79"/>
        <v>38.852649999999997</v>
      </c>
      <c r="O238" s="48">
        <f t="shared" si="80"/>
        <v>11.616942349999999</v>
      </c>
      <c r="P238" s="48">
        <f t="shared" si="81"/>
        <v>127.78636584999998</v>
      </c>
      <c r="Q238" s="48">
        <f t="shared" si="82"/>
        <v>2110.5548458499998</v>
      </c>
      <c r="R238" s="41">
        <f t="shared" si="83"/>
        <v>2951.0890495399499</v>
      </c>
    </row>
    <row r="239" spans="2:19" x14ac:dyDescent="0.2">
      <c r="B239" s="61">
        <f>IF(F239&lt;&gt;"",1+MAX($B$21:B238),"")</f>
        <v>136</v>
      </c>
      <c r="C239" s="196"/>
      <c r="D239" s="73" t="s">
        <v>214</v>
      </c>
      <c r="E239" s="14" t="s">
        <v>74</v>
      </c>
      <c r="F239" s="19">
        <v>15.5</v>
      </c>
      <c r="G239" s="12">
        <v>8.0500000000000007</v>
      </c>
      <c r="H239" s="12">
        <f t="shared" si="76"/>
        <v>7.6636000000000006</v>
      </c>
      <c r="I239" s="12">
        <f t="shared" si="77"/>
        <v>118.78580000000001</v>
      </c>
      <c r="J239" s="11">
        <v>9.4E-2</v>
      </c>
      <c r="K239" s="7">
        <f t="shared" si="78"/>
        <v>1.4570000000000001</v>
      </c>
      <c r="L239" s="28" t="s">
        <v>1048</v>
      </c>
      <c r="M239" s="29">
        <v>53.15</v>
      </c>
      <c r="N239" s="48">
        <f t="shared" si="79"/>
        <v>38.852649999999997</v>
      </c>
      <c r="O239" s="48">
        <f t="shared" si="80"/>
        <v>3.6521490999999999</v>
      </c>
      <c r="P239" s="48">
        <f t="shared" si="81"/>
        <v>56.608311049999998</v>
      </c>
      <c r="Q239" s="48">
        <f t="shared" si="82"/>
        <v>175.39411104999999</v>
      </c>
      <c r="R239" s="41">
        <f t="shared" si="83"/>
        <v>246.65255098835001</v>
      </c>
    </row>
    <row r="240" spans="2:19" x14ac:dyDescent="0.2">
      <c r="B240" s="61">
        <f>IF(F240&lt;&gt;"",1+MAX($B$21:B239),"")</f>
        <v>137</v>
      </c>
      <c r="C240" s="196"/>
      <c r="D240" s="73" t="s">
        <v>206</v>
      </c>
      <c r="E240" s="14" t="s">
        <v>72</v>
      </c>
      <c r="F240" s="19">
        <v>12</v>
      </c>
      <c r="G240" s="48">
        <v>44</v>
      </c>
      <c r="H240" s="48">
        <f t="shared" si="76"/>
        <v>41.887999999999998</v>
      </c>
      <c r="I240" s="48">
        <f t="shared" ref="I240:I242" si="84">F240*H240</f>
        <v>502.65599999999995</v>
      </c>
      <c r="J240" s="49">
        <v>0.14699999999999999</v>
      </c>
      <c r="K240" s="50">
        <f t="shared" ref="K240:K242" si="85">F240*J240</f>
        <v>1.7639999999999998</v>
      </c>
      <c r="L240" s="28" t="s">
        <v>1052</v>
      </c>
      <c r="M240" s="29">
        <v>53.15</v>
      </c>
      <c r="N240" s="48">
        <f t="shared" si="79"/>
        <v>38.852649999999997</v>
      </c>
      <c r="O240" s="48">
        <f t="shared" ref="O240:O242" si="86">J240*N240</f>
        <v>5.711339549999999</v>
      </c>
      <c r="P240" s="48">
        <f t="shared" ref="P240:P242" si="87">F240*O240</f>
        <v>68.536074599999992</v>
      </c>
      <c r="Q240" s="48">
        <f t="shared" si="82"/>
        <v>571.19207459999996</v>
      </c>
      <c r="R240" s="41">
        <f t="shared" si="83"/>
        <v>799.70981685420008</v>
      </c>
    </row>
    <row r="241" spans="2:18" x14ac:dyDescent="0.2">
      <c r="B241" s="61">
        <f>IF(F241&lt;&gt;"",1+MAX($B$21:B240),"")</f>
        <v>138</v>
      </c>
      <c r="C241" s="196"/>
      <c r="D241" s="73" t="s">
        <v>207</v>
      </c>
      <c r="E241" s="14" t="s">
        <v>72</v>
      </c>
      <c r="F241" s="19">
        <v>11</v>
      </c>
      <c r="G241" s="48">
        <v>44</v>
      </c>
      <c r="H241" s="48">
        <f t="shared" si="76"/>
        <v>41.887999999999998</v>
      </c>
      <c r="I241" s="48">
        <f t="shared" si="84"/>
        <v>460.76799999999997</v>
      </c>
      <c r="J241" s="49">
        <v>0.14699999999999999</v>
      </c>
      <c r="K241" s="50">
        <f t="shared" si="85"/>
        <v>1.617</v>
      </c>
      <c r="L241" s="28" t="s">
        <v>1052</v>
      </c>
      <c r="M241" s="29">
        <v>53.15</v>
      </c>
      <c r="N241" s="48">
        <f t="shared" si="79"/>
        <v>38.852649999999997</v>
      </c>
      <c r="O241" s="48">
        <f t="shared" si="86"/>
        <v>5.711339549999999</v>
      </c>
      <c r="P241" s="48">
        <f t="shared" si="87"/>
        <v>62.824735049999987</v>
      </c>
      <c r="Q241" s="48">
        <f t="shared" si="82"/>
        <v>523.59273504999999</v>
      </c>
      <c r="R241" s="41">
        <f t="shared" si="83"/>
        <v>733.06733211634992</v>
      </c>
    </row>
    <row r="242" spans="2:18" x14ac:dyDescent="0.2">
      <c r="B242" s="61">
        <f>IF(F242&lt;&gt;"",1+MAX($B$21:B241),"")</f>
        <v>139</v>
      </c>
      <c r="C242" s="197"/>
      <c r="D242" s="73" t="s">
        <v>208</v>
      </c>
      <c r="E242" s="14" t="s">
        <v>74</v>
      </c>
      <c r="F242" s="19">
        <v>14</v>
      </c>
      <c r="G242" s="48">
        <v>12</v>
      </c>
      <c r="H242" s="48">
        <f t="shared" si="76"/>
        <v>11.423999999999999</v>
      </c>
      <c r="I242" s="48">
        <f t="shared" si="84"/>
        <v>159.93599999999998</v>
      </c>
      <c r="J242" s="49">
        <v>9.5000000000000001E-2</v>
      </c>
      <c r="K242" s="50">
        <f t="shared" si="85"/>
        <v>1.33</v>
      </c>
      <c r="L242" s="28" t="s">
        <v>1052</v>
      </c>
      <c r="M242" s="29">
        <v>53.15</v>
      </c>
      <c r="N242" s="48">
        <f t="shared" si="79"/>
        <v>38.852649999999997</v>
      </c>
      <c r="O242" s="48">
        <f t="shared" si="86"/>
        <v>3.6910017499999999</v>
      </c>
      <c r="P242" s="48">
        <f t="shared" si="87"/>
        <v>51.674024500000002</v>
      </c>
      <c r="Q242" s="48">
        <f t="shared" si="82"/>
        <v>211.61002449999998</v>
      </c>
      <c r="R242" s="41">
        <f t="shared" si="83"/>
        <v>297.07346336149993</v>
      </c>
    </row>
    <row r="243" spans="2:18" x14ac:dyDescent="0.2">
      <c r="B243" s="61" t="str">
        <f>IF(F243&lt;&gt;"",1+MAX($B$21:B242),"")</f>
        <v/>
      </c>
      <c r="C243" s="67"/>
      <c r="D243" s="75"/>
      <c r="E243" s="14"/>
      <c r="F243" s="19"/>
      <c r="G243" s="48"/>
      <c r="H243" s="48">
        <f t="shared" si="76"/>
        <v>0</v>
      </c>
      <c r="I243" s="48">
        <f t="shared" si="77"/>
        <v>0</v>
      </c>
      <c r="J243" s="49"/>
      <c r="K243" s="50">
        <f t="shared" si="78"/>
        <v>0</v>
      </c>
      <c r="L243" s="50"/>
      <c r="M243" s="48"/>
      <c r="N243" s="48">
        <f t="shared" si="79"/>
        <v>0</v>
      </c>
      <c r="O243" s="48">
        <f t="shared" si="80"/>
        <v>0</v>
      </c>
      <c r="P243" s="48">
        <f t="shared" si="81"/>
        <v>0</v>
      </c>
      <c r="Q243" s="48">
        <f t="shared" si="82"/>
        <v>0</v>
      </c>
      <c r="R243" s="41">
        <f t="shared" si="83"/>
        <v>0</v>
      </c>
    </row>
    <row r="244" spans="2:18" x14ac:dyDescent="0.2">
      <c r="B244" s="61" t="str">
        <f>IF(F244&lt;&gt;"",1+MAX($B$21:B243),"")</f>
        <v/>
      </c>
      <c r="C244" s="198" t="s">
        <v>218</v>
      </c>
      <c r="D244" s="75" t="s">
        <v>216</v>
      </c>
      <c r="E244" s="14"/>
      <c r="F244" s="19"/>
      <c r="G244" s="48"/>
      <c r="H244" s="48">
        <f t="shared" si="76"/>
        <v>0</v>
      </c>
      <c r="I244" s="48">
        <f t="shared" si="77"/>
        <v>0</v>
      </c>
      <c r="J244" s="49"/>
      <c r="K244" s="50">
        <f t="shared" si="78"/>
        <v>0</v>
      </c>
      <c r="L244" s="50"/>
      <c r="M244" s="48"/>
      <c r="N244" s="48">
        <f t="shared" si="79"/>
        <v>0</v>
      </c>
      <c r="O244" s="48">
        <f t="shared" si="80"/>
        <v>0</v>
      </c>
      <c r="P244" s="48">
        <f t="shared" si="81"/>
        <v>0</v>
      </c>
      <c r="Q244" s="48">
        <f t="shared" si="82"/>
        <v>0</v>
      </c>
      <c r="R244" s="41">
        <f t="shared" si="83"/>
        <v>0</v>
      </c>
    </row>
    <row r="245" spans="2:18" ht="25.5" x14ac:dyDescent="0.2">
      <c r="B245" s="61">
        <f>IF(F245&lt;&gt;"",1+MAX($B$21:B244),"")</f>
        <v>140</v>
      </c>
      <c r="C245" s="196"/>
      <c r="D245" s="73" t="s">
        <v>217</v>
      </c>
      <c r="E245" s="14" t="s">
        <v>72</v>
      </c>
      <c r="F245" s="19">
        <v>11</v>
      </c>
      <c r="G245" s="48">
        <v>44</v>
      </c>
      <c r="H245" s="48">
        <f t="shared" si="76"/>
        <v>41.887999999999998</v>
      </c>
      <c r="I245" s="48">
        <f t="shared" si="77"/>
        <v>460.76799999999997</v>
      </c>
      <c r="J245" s="49">
        <v>0.14699999999999999</v>
      </c>
      <c r="K245" s="50">
        <f t="shared" si="78"/>
        <v>1.617</v>
      </c>
      <c r="L245" s="28" t="s">
        <v>1052</v>
      </c>
      <c r="M245" s="29">
        <v>53.15</v>
      </c>
      <c r="N245" s="48">
        <f t="shared" si="79"/>
        <v>38.852649999999997</v>
      </c>
      <c r="O245" s="48">
        <f t="shared" si="80"/>
        <v>5.711339549999999</v>
      </c>
      <c r="P245" s="48">
        <f t="shared" si="81"/>
        <v>62.824735049999987</v>
      </c>
      <c r="Q245" s="48">
        <f t="shared" si="82"/>
        <v>523.59273504999999</v>
      </c>
      <c r="R245" s="41">
        <f t="shared" si="83"/>
        <v>733.06733211634992</v>
      </c>
    </row>
    <row r="246" spans="2:18" x14ac:dyDescent="0.2">
      <c r="B246" s="61">
        <f>IF(F246&lt;&gt;"",1+MAX($B$21:B245),"")</f>
        <v>141</v>
      </c>
      <c r="C246" s="197"/>
      <c r="D246" s="73" t="s">
        <v>208</v>
      </c>
      <c r="E246" s="14" t="s">
        <v>74</v>
      </c>
      <c r="F246" s="19">
        <v>6</v>
      </c>
      <c r="G246" s="48">
        <v>12</v>
      </c>
      <c r="H246" s="48">
        <f t="shared" si="76"/>
        <v>11.423999999999999</v>
      </c>
      <c r="I246" s="48">
        <f t="shared" si="77"/>
        <v>68.543999999999997</v>
      </c>
      <c r="J246" s="49">
        <v>9.5000000000000001E-2</v>
      </c>
      <c r="K246" s="50">
        <f t="shared" si="78"/>
        <v>0.57000000000000006</v>
      </c>
      <c r="L246" s="28" t="s">
        <v>1052</v>
      </c>
      <c r="M246" s="29">
        <v>53.15</v>
      </c>
      <c r="N246" s="48">
        <f t="shared" si="79"/>
        <v>38.852649999999997</v>
      </c>
      <c r="O246" s="48">
        <f t="shared" si="80"/>
        <v>3.6910017499999999</v>
      </c>
      <c r="P246" s="48">
        <f t="shared" si="81"/>
        <v>22.146010499999999</v>
      </c>
      <c r="Q246" s="48">
        <f t="shared" si="82"/>
        <v>90.6900105</v>
      </c>
      <c r="R246" s="41">
        <f t="shared" si="83"/>
        <v>127.31719858349999</v>
      </c>
    </row>
    <row r="247" spans="2:18" x14ac:dyDescent="0.2">
      <c r="B247" s="61" t="str">
        <f>IF(F247&lt;&gt;"",1+MAX($B$21:B246),"")</f>
        <v/>
      </c>
      <c r="C247" s="67"/>
      <c r="D247" s="73"/>
      <c r="E247" s="14"/>
      <c r="F247" s="19"/>
      <c r="G247" s="48"/>
      <c r="H247" s="48">
        <f t="shared" si="76"/>
        <v>0</v>
      </c>
      <c r="I247" s="48">
        <f t="shared" si="77"/>
        <v>0</v>
      </c>
      <c r="J247" s="49"/>
      <c r="K247" s="50">
        <f t="shared" si="78"/>
        <v>0</v>
      </c>
      <c r="L247" s="50"/>
      <c r="M247" s="48"/>
      <c r="N247" s="48">
        <f t="shared" si="79"/>
        <v>0</v>
      </c>
      <c r="O247" s="48">
        <f t="shared" si="80"/>
        <v>0</v>
      </c>
      <c r="P247" s="48">
        <f t="shared" si="81"/>
        <v>0</v>
      </c>
      <c r="Q247" s="48">
        <f t="shared" si="82"/>
        <v>0</v>
      </c>
      <c r="R247" s="41">
        <f t="shared" si="83"/>
        <v>0</v>
      </c>
    </row>
    <row r="248" spans="2:18" x14ac:dyDescent="0.2">
      <c r="B248" s="61" t="str">
        <f>IF(F248&lt;&gt;"",1+MAX($B$21:B247),"")</f>
        <v/>
      </c>
      <c r="C248" s="198" t="s">
        <v>573</v>
      </c>
      <c r="D248" s="75" t="s">
        <v>574</v>
      </c>
      <c r="E248" s="14"/>
      <c r="F248" s="19"/>
      <c r="G248" s="48"/>
      <c r="H248" s="48">
        <f t="shared" si="76"/>
        <v>0</v>
      </c>
      <c r="I248" s="48">
        <f t="shared" si="77"/>
        <v>0</v>
      </c>
      <c r="J248" s="49"/>
      <c r="K248" s="50">
        <f t="shared" si="78"/>
        <v>0</v>
      </c>
      <c r="L248" s="50"/>
      <c r="M248" s="48"/>
      <c r="N248" s="48">
        <f t="shared" si="79"/>
        <v>0</v>
      </c>
      <c r="O248" s="48">
        <f t="shared" si="80"/>
        <v>0</v>
      </c>
      <c r="P248" s="48">
        <f t="shared" si="81"/>
        <v>0</v>
      </c>
      <c r="Q248" s="48">
        <f t="shared" si="82"/>
        <v>0</v>
      </c>
      <c r="R248" s="41">
        <f t="shared" si="83"/>
        <v>0</v>
      </c>
    </row>
    <row r="249" spans="2:18" x14ac:dyDescent="0.2">
      <c r="B249" s="61">
        <f>IF(F249&lt;&gt;"",1+MAX($B$21:B248),"")</f>
        <v>142</v>
      </c>
      <c r="C249" s="196"/>
      <c r="D249" s="73" t="s">
        <v>575</v>
      </c>
      <c r="E249" s="14" t="s">
        <v>72</v>
      </c>
      <c r="F249" s="19">
        <v>300</v>
      </c>
      <c r="G249" s="48">
        <v>15</v>
      </c>
      <c r="H249" s="48">
        <f t="shared" si="76"/>
        <v>14.28</v>
      </c>
      <c r="I249" s="48">
        <f t="shared" si="77"/>
        <v>4284</v>
      </c>
      <c r="J249" s="49">
        <v>0.1</v>
      </c>
      <c r="K249" s="50">
        <f t="shared" si="78"/>
        <v>30</v>
      </c>
      <c r="L249" s="28" t="s">
        <v>1052</v>
      </c>
      <c r="M249" s="29">
        <v>53.15</v>
      </c>
      <c r="N249" s="48">
        <f t="shared" si="79"/>
        <v>38.852649999999997</v>
      </c>
      <c r="O249" s="48">
        <f t="shared" si="80"/>
        <v>3.885265</v>
      </c>
      <c r="P249" s="48">
        <f t="shared" si="81"/>
        <v>1165.5795000000001</v>
      </c>
      <c r="Q249" s="48">
        <f t="shared" si="82"/>
        <v>5449.5794999999998</v>
      </c>
      <c r="R249" s="41">
        <f t="shared" si="83"/>
        <v>7645.4595465000002</v>
      </c>
    </row>
    <row r="250" spans="2:18" x14ac:dyDescent="0.2">
      <c r="B250" s="61">
        <f>IF(F250&lt;&gt;"",1+MAX($B$21:B249),"")</f>
        <v>143</v>
      </c>
      <c r="C250" s="196"/>
      <c r="D250" s="73" t="s">
        <v>576</v>
      </c>
      <c r="E250" s="14" t="s">
        <v>72</v>
      </c>
      <c r="F250" s="19">
        <v>64</v>
      </c>
      <c r="G250" s="48">
        <v>16</v>
      </c>
      <c r="H250" s="48">
        <f t="shared" si="76"/>
        <v>15.231999999999999</v>
      </c>
      <c r="I250" s="48">
        <f t="shared" si="77"/>
        <v>974.84799999999996</v>
      </c>
      <c r="J250" s="49">
        <v>0.12</v>
      </c>
      <c r="K250" s="50">
        <f t="shared" si="78"/>
        <v>7.68</v>
      </c>
      <c r="L250" s="28" t="s">
        <v>1052</v>
      </c>
      <c r="M250" s="29">
        <v>53.15</v>
      </c>
      <c r="N250" s="48">
        <f t="shared" si="79"/>
        <v>38.852649999999997</v>
      </c>
      <c r="O250" s="48">
        <f t="shared" si="80"/>
        <v>4.6623179999999991</v>
      </c>
      <c r="P250" s="48">
        <f t="shared" si="81"/>
        <v>298.38835199999994</v>
      </c>
      <c r="Q250" s="48">
        <f t="shared" si="82"/>
        <v>1273.2363519999999</v>
      </c>
      <c r="R250" s="41">
        <f t="shared" si="83"/>
        <v>1787.0779255039997</v>
      </c>
    </row>
    <row r="251" spans="2:18" x14ac:dyDescent="0.2">
      <c r="B251" s="61">
        <f>IF(F251&lt;&gt;"",1+MAX($B$21:B250),"")</f>
        <v>144</v>
      </c>
      <c r="C251" s="197"/>
      <c r="D251" s="73" t="s">
        <v>577</v>
      </c>
      <c r="E251" s="14" t="s">
        <v>72</v>
      </c>
      <c r="F251" s="19">
        <v>90</v>
      </c>
      <c r="G251" s="12">
        <v>1.8239999999999998</v>
      </c>
      <c r="H251" s="12">
        <f t="shared" si="76"/>
        <v>1.7364479999999998</v>
      </c>
      <c r="I251" s="12">
        <f t="shared" si="77"/>
        <v>156.28031999999999</v>
      </c>
      <c r="J251" s="11">
        <v>1.9E-2</v>
      </c>
      <c r="K251" s="7">
        <f t="shared" si="78"/>
        <v>1.71</v>
      </c>
      <c r="L251" s="28" t="s">
        <v>1052</v>
      </c>
      <c r="M251" s="29">
        <v>53.15</v>
      </c>
      <c r="N251" s="48">
        <f t="shared" si="79"/>
        <v>38.852649999999997</v>
      </c>
      <c r="O251" s="48">
        <f t="shared" si="80"/>
        <v>0.73820034999999995</v>
      </c>
      <c r="P251" s="48">
        <f t="shared" si="81"/>
        <v>66.438031499999994</v>
      </c>
      <c r="Q251" s="48">
        <f t="shared" si="82"/>
        <v>222.71835149999998</v>
      </c>
      <c r="R251" s="41">
        <f t="shared" si="83"/>
        <v>313.03690979850001</v>
      </c>
    </row>
    <row r="252" spans="2:18" x14ac:dyDescent="0.2">
      <c r="B252" s="61" t="str">
        <f>IF(F252&lt;&gt;"",1+MAX($B$21:B251),"")</f>
        <v/>
      </c>
      <c r="C252" s="67"/>
      <c r="D252" s="73"/>
      <c r="E252" s="14"/>
      <c r="F252" s="19"/>
      <c r="G252" s="48"/>
      <c r="H252" s="48">
        <f t="shared" si="76"/>
        <v>0</v>
      </c>
      <c r="I252" s="48">
        <f t="shared" si="77"/>
        <v>0</v>
      </c>
      <c r="J252" s="49"/>
      <c r="K252" s="50">
        <f t="shared" si="78"/>
        <v>0</v>
      </c>
      <c r="L252" s="50"/>
      <c r="M252" s="48"/>
      <c r="N252" s="48">
        <f t="shared" si="79"/>
        <v>0</v>
      </c>
      <c r="O252" s="48">
        <f t="shared" si="80"/>
        <v>0</v>
      </c>
      <c r="P252" s="48">
        <f t="shared" si="81"/>
        <v>0</v>
      </c>
      <c r="Q252" s="48">
        <f t="shared" si="82"/>
        <v>0</v>
      </c>
      <c r="R252" s="41">
        <f t="shared" si="83"/>
        <v>0</v>
      </c>
    </row>
    <row r="253" spans="2:18" x14ac:dyDescent="0.2">
      <c r="B253" s="61" t="str">
        <f>IF(F253&lt;&gt;"",1+MAX($B$21:B252),"")</f>
        <v/>
      </c>
      <c r="C253" s="198" t="s">
        <v>507</v>
      </c>
      <c r="D253" s="75" t="s">
        <v>374</v>
      </c>
      <c r="E253" s="14"/>
      <c r="F253" s="19"/>
      <c r="G253" s="48"/>
      <c r="H253" s="48">
        <f t="shared" si="76"/>
        <v>0</v>
      </c>
      <c r="I253" s="48">
        <f t="shared" si="77"/>
        <v>0</v>
      </c>
      <c r="J253" s="49"/>
      <c r="K253" s="50">
        <f t="shared" si="78"/>
        <v>0</v>
      </c>
      <c r="L253" s="50"/>
      <c r="M253" s="48"/>
      <c r="N253" s="48">
        <f t="shared" si="79"/>
        <v>0</v>
      </c>
      <c r="O253" s="48">
        <f t="shared" si="80"/>
        <v>0</v>
      </c>
      <c r="P253" s="48">
        <f t="shared" si="81"/>
        <v>0</v>
      </c>
      <c r="Q253" s="48">
        <f t="shared" si="82"/>
        <v>0</v>
      </c>
      <c r="R253" s="41">
        <f t="shared" si="83"/>
        <v>0</v>
      </c>
    </row>
    <row r="254" spans="2:18" x14ac:dyDescent="0.2">
      <c r="B254" s="61">
        <f>IF(F254&lt;&gt;"",1+MAX($B$21:B253),"")</f>
        <v>145</v>
      </c>
      <c r="C254" s="196"/>
      <c r="D254" s="73" t="s">
        <v>375</v>
      </c>
      <c r="E254" s="14" t="s">
        <v>72</v>
      </c>
      <c r="F254" s="19">
        <f>4*3.75*2</f>
        <v>30</v>
      </c>
      <c r="G254" s="12">
        <v>1.8239999999999998</v>
      </c>
      <c r="H254" s="12">
        <f t="shared" si="76"/>
        <v>1.7364479999999998</v>
      </c>
      <c r="I254" s="12">
        <f t="shared" si="77"/>
        <v>52.093439999999994</v>
      </c>
      <c r="J254" s="11">
        <v>1.9E-2</v>
      </c>
      <c r="K254" s="7">
        <f t="shared" si="78"/>
        <v>0.56999999999999995</v>
      </c>
      <c r="L254" s="28" t="s">
        <v>1052</v>
      </c>
      <c r="M254" s="29">
        <v>53.15</v>
      </c>
      <c r="N254" s="48">
        <f t="shared" si="79"/>
        <v>38.852649999999997</v>
      </c>
      <c r="O254" s="48">
        <f t="shared" si="80"/>
        <v>0.73820034999999995</v>
      </c>
      <c r="P254" s="48">
        <f t="shared" si="81"/>
        <v>22.146010499999999</v>
      </c>
      <c r="Q254" s="48">
        <f t="shared" si="82"/>
        <v>74.23945049999999</v>
      </c>
      <c r="R254" s="41">
        <f t="shared" si="83"/>
        <v>104.34563659949997</v>
      </c>
    </row>
    <row r="255" spans="2:18" x14ac:dyDescent="0.2">
      <c r="B255" s="61">
        <f>IF(F255&lt;&gt;"",1+MAX($B$21:B254),"")</f>
        <v>146</v>
      </c>
      <c r="C255" s="196"/>
      <c r="D255" s="73" t="s">
        <v>376</v>
      </c>
      <c r="E255" s="14" t="s">
        <v>72</v>
      </c>
      <c r="F255" s="19">
        <v>135</v>
      </c>
      <c r="G255" s="12">
        <v>2.34</v>
      </c>
      <c r="H255" s="12">
        <f t="shared" si="76"/>
        <v>2.2276799999999999</v>
      </c>
      <c r="I255" s="12">
        <f t="shared" si="77"/>
        <v>300.73679999999996</v>
      </c>
      <c r="J255" s="11">
        <v>2.3E-2</v>
      </c>
      <c r="K255" s="7">
        <f t="shared" si="78"/>
        <v>3.105</v>
      </c>
      <c r="L255" s="28" t="s">
        <v>1052</v>
      </c>
      <c r="M255" s="29">
        <v>53.15</v>
      </c>
      <c r="N255" s="48">
        <f t="shared" si="79"/>
        <v>38.852649999999997</v>
      </c>
      <c r="O255" s="48">
        <f t="shared" si="80"/>
        <v>0.8936109499999999</v>
      </c>
      <c r="P255" s="48">
        <f t="shared" si="81"/>
        <v>120.63747824999999</v>
      </c>
      <c r="Q255" s="48">
        <f t="shared" si="82"/>
        <v>421.37427824999997</v>
      </c>
      <c r="R255" s="41">
        <f t="shared" si="83"/>
        <v>592.09854898275</v>
      </c>
    </row>
    <row r="256" spans="2:18" x14ac:dyDescent="0.2">
      <c r="B256" s="61">
        <f>IF(F256&lt;&gt;"",1+MAX($B$21:B255),"")</f>
        <v>147</v>
      </c>
      <c r="C256" s="197"/>
      <c r="D256" s="73" t="s">
        <v>377</v>
      </c>
      <c r="E256" s="14" t="s">
        <v>72</v>
      </c>
      <c r="F256" s="19">
        <v>40</v>
      </c>
      <c r="G256" s="12">
        <v>2.4</v>
      </c>
      <c r="H256" s="12">
        <f t="shared" si="76"/>
        <v>2.2847999999999997</v>
      </c>
      <c r="I256" s="12">
        <f t="shared" si="77"/>
        <v>91.391999999999996</v>
      </c>
      <c r="J256" s="11">
        <v>2.1000000000000001E-2</v>
      </c>
      <c r="K256" s="7">
        <f t="shared" si="78"/>
        <v>0.84000000000000008</v>
      </c>
      <c r="L256" s="28" t="s">
        <v>1052</v>
      </c>
      <c r="M256" s="29">
        <v>53.15</v>
      </c>
      <c r="N256" s="48">
        <f t="shared" si="79"/>
        <v>38.852649999999997</v>
      </c>
      <c r="O256" s="48">
        <f t="shared" si="80"/>
        <v>0.81590565000000004</v>
      </c>
      <c r="P256" s="48">
        <f t="shared" si="81"/>
        <v>32.636226000000001</v>
      </c>
      <c r="Q256" s="48">
        <f t="shared" si="82"/>
        <v>124.02822599999999</v>
      </c>
      <c r="R256" s="41">
        <f t="shared" si="83"/>
        <v>174.19168330199997</v>
      </c>
    </row>
    <row r="257" spans="2:19" x14ac:dyDescent="0.2">
      <c r="B257" s="61" t="str">
        <f>IF(F257&lt;&gt;"",1+MAX($B$21:B256),"")</f>
        <v/>
      </c>
      <c r="C257" s="67"/>
      <c r="D257" s="75"/>
      <c r="E257" s="14"/>
      <c r="F257" s="19"/>
      <c r="G257" s="48"/>
      <c r="H257" s="48">
        <f t="shared" si="76"/>
        <v>0</v>
      </c>
      <c r="I257" s="48">
        <f t="shared" si="77"/>
        <v>0</v>
      </c>
      <c r="J257" s="49"/>
      <c r="K257" s="50">
        <f t="shared" si="78"/>
        <v>0</v>
      </c>
      <c r="L257" s="50"/>
      <c r="M257" s="48"/>
      <c r="N257" s="48">
        <f t="shared" si="79"/>
        <v>0</v>
      </c>
      <c r="O257" s="48">
        <f t="shared" si="80"/>
        <v>0</v>
      </c>
      <c r="P257" s="48">
        <f t="shared" si="81"/>
        <v>0</v>
      </c>
      <c r="Q257" s="48">
        <f t="shared" si="82"/>
        <v>0</v>
      </c>
      <c r="R257" s="41">
        <f t="shared" si="83"/>
        <v>0</v>
      </c>
    </row>
    <row r="258" spans="2:19" x14ac:dyDescent="0.2">
      <c r="B258" s="61" t="str">
        <f>IF(F258&lt;&gt;"",1+MAX($B$21:B257),"")</f>
        <v/>
      </c>
      <c r="C258" s="198"/>
      <c r="D258" s="75" t="s">
        <v>378</v>
      </c>
      <c r="E258" s="14"/>
      <c r="F258" s="19"/>
      <c r="G258" s="48"/>
      <c r="H258" s="48">
        <f t="shared" si="76"/>
        <v>0</v>
      </c>
      <c r="I258" s="48">
        <f t="shared" si="77"/>
        <v>0</v>
      </c>
      <c r="J258" s="49"/>
      <c r="K258" s="50">
        <f t="shared" si="78"/>
        <v>0</v>
      </c>
      <c r="L258" s="50"/>
      <c r="M258" s="48"/>
      <c r="N258" s="48">
        <f t="shared" si="79"/>
        <v>0</v>
      </c>
      <c r="O258" s="48">
        <f t="shared" si="80"/>
        <v>0</v>
      </c>
      <c r="P258" s="48">
        <f t="shared" si="81"/>
        <v>0</v>
      </c>
      <c r="Q258" s="48">
        <f t="shared" si="82"/>
        <v>0</v>
      </c>
      <c r="R258" s="41">
        <f t="shared" si="83"/>
        <v>0</v>
      </c>
    </row>
    <row r="259" spans="2:19" ht="51" x14ac:dyDescent="0.2">
      <c r="B259" s="61" t="str">
        <f>IF(F259&lt;&gt;"",1+MAX($B$21:B258),"")</f>
        <v/>
      </c>
      <c r="C259" s="196"/>
      <c r="D259" s="73" t="s">
        <v>349</v>
      </c>
      <c r="E259" s="14"/>
      <c r="F259" s="19"/>
      <c r="G259" s="48"/>
      <c r="H259" s="48">
        <f t="shared" si="76"/>
        <v>0</v>
      </c>
      <c r="I259" s="48">
        <f t="shared" si="77"/>
        <v>0</v>
      </c>
      <c r="J259" s="49"/>
      <c r="K259" s="50">
        <f t="shared" si="78"/>
        <v>0</v>
      </c>
      <c r="L259" s="50"/>
      <c r="M259" s="48"/>
      <c r="N259" s="48">
        <f t="shared" si="79"/>
        <v>0</v>
      </c>
      <c r="O259" s="48">
        <f t="shared" si="80"/>
        <v>0</v>
      </c>
      <c r="P259" s="48">
        <f t="shared" si="81"/>
        <v>0</v>
      </c>
      <c r="Q259" s="48">
        <f t="shared" si="82"/>
        <v>0</v>
      </c>
      <c r="R259" s="41">
        <f t="shared" si="83"/>
        <v>0</v>
      </c>
    </row>
    <row r="260" spans="2:19" ht="51" x14ac:dyDescent="0.2">
      <c r="B260" s="61" t="str">
        <f>IF(F260&lt;&gt;"",1+MAX($B$21:B259),"")</f>
        <v/>
      </c>
      <c r="C260" s="196"/>
      <c r="D260" s="73" t="s">
        <v>350</v>
      </c>
      <c r="E260" s="14"/>
      <c r="F260" s="19"/>
      <c r="G260" s="48"/>
      <c r="H260" s="48">
        <f t="shared" si="76"/>
        <v>0</v>
      </c>
      <c r="I260" s="48">
        <f t="shared" si="77"/>
        <v>0</v>
      </c>
      <c r="J260" s="49"/>
      <c r="K260" s="50">
        <f t="shared" si="78"/>
        <v>0</v>
      </c>
      <c r="L260" s="50"/>
      <c r="M260" s="48"/>
      <c r="N260" s="48">
        <f t="shared" si="79"/>
        <v>0</v>
      </c>
      <c r="O260" s="48">
        <f t="shared" si="80"/>
        <v>0</v>
      </c>
      <c r="P260" s="48">
        <f t="shared" si="81"/>
        <v>0</v>
      </c>
      <c r="Q260" s="48">
        <f t="shared" si="82"/>
        <v>0</v>
      </c>
      <c r="R260" s="41">
        <f t="shared" si="83"/>
        <v>0</v>
      </c>
    </row>
    <row r="261" spans="2:19" ht="51" x14ac:dyDescent="0.2">
      <c r="B261" s="61" t="str">
        <f>IF(F261&lt;&gt;"",1+MAX($B$21:B260),"")</f>
        <v/>
      </c>
      <c r="C261" s="196"/>
      <c r="D261" s="73" t="s">
        <v>351</v>
      </c>
      <c r="E261" s="14"/>
      <c r="F261" s="19"/>
      <c r="G261" s="48"/>
      <c r="H261" s="48">
        <f t="shared" si="76"/>
        <v>0</v>
      </c>
      <c r="I261" s="48">
        <f t="shared" si="77"/>
        <v>0</v>
      </c>
      <c r="J261" s="49"/>
      <c r="K261" s="50">
        <f t="shared" si="78"/>
        <v>0</v>
      </c>
      <c r="L261" s="50"/>
      <c r="M261" s="48"/>
      <c r="N261" s="48">
        <f t="shared" si="79"/>
        <v>0</v>
      </c>
      <c r="O261" s="48">
        <f t="shared" si="80"/>
        <v>0</v>
      </c>
      <c r="P261" s="48">
        <f t="shared" si="81"/>
        <v>0</v>
      </c>
      <c r="Q261" s="48">
        <f t="shared" si="82"/>
        <v>0</v>
      </c>
      <c r="R261" s="41">
        <f t="shared" si="83"/>
        <v>0</v>
      </c>
    </row>
    <row r="262" spans="2:19" ht="51" x14ac:dyDescent="0.2">
      <c r="B262" s="61" t="str">
        <f>IF(F262&lt;&gt;"",1+MAX($B$21:B261),"")</f>
        <v/>
      </c>
      <c r="C262" s="196"/>
      <c r="D262" s="73" t="s">
        <v>352</v>
      </c>
      <c r="E262" s="14"/>
      <c r="F262" s="19"/>
      <c r="G262" s="48"/>
      <c r="H262" s="48">
        <f t="shared" si="76"/>
        <v>0</v>
      </c>
      <c r="I262" s="48">
        <f t="shared" si="77"/>
        <v>0</v>
      </c>
      <c r="J262" s="49"/>
      <c r="K262" s="50">
        <f t="shared" si="78"/>
        <v>0</v>
      </c>
      <c r="L262" s="50"/>
      <c r="M262" s="48"/>
      <c r="N262" s="48">
        <f t="shared" si="79"/>
        <v>0</v>
      </c>
      <c r="O262" s="48">
        <f t="shared" si="80"/>
        <v>0</v>
      </c>
      <c r="P262" s="48">
        <f t="shared" si="81"/>
        <v>0</v>
      </c>
      <c r="Q262" s="48">
        <f t="shared" si="82"/>
        <v>0</v>
      </c>
      <c r="R262" s="41">
        <f t="shared" si="83"/>
        <v>0</v>
      </c>
    </row>
    <row r="263" spans="2:19" ht="51" x14ac:dyDescent="0.2">
      <c r="B263" s="61" t="str">
        <f>IF(F263&lt;&gt;"",1+MAX($B$21:B262),"")</f>
        <v/>
      </c>
      <c r="C263" s="196"/>
      <c r="D263" s="73" t="s">
        <v>353</v>
      </c>
      <c r="E263" s="14"/>
      <c r="F263" s="19"/>
      <c r="G263" s="48"/>
      <c r="H263" s="48">
        <f t="shared" si="76"/>
        <v>0</v>
      </c>
      <c r="I263" s="48">
        <f t="shared" si="77"/>
        <v>0</v>
      </c>
      <c r="J263" s="49"/>
      <c r="K263" s="50">
        <f t="shared" si="78"/>
        <v>0</v>
      </c>
      <c r="L263" s="50"/>
      <c r="M263" s="48"/>
      <c r="N263" s="48">
        <f t="shared" si="79"/>
        <v>0</v>
      </c>
      <c r="O263" s="48">
        <f t="shared" si="80"/>
        <v>0</v>
      </c>
      <c r="P263" s="48">
        <f t="shared" si="81"/>
        <v>0</v>
      </c>
      <c r="Q263" s="48">
        <f t="shared" si="82"/>
        <v>0</v>
      </c>
      <c r="R263" s="41">
        <f t="shared" si="83"/>
        <v>0</v>
      </c>
    </row>
    <row r="264" spans="2:19" ht="51" x14ac:dyDescent="0.2">
      <c r="B264" s="61" t="str">
        <f>IF(F264&lt;&gt;"",1+MAX($B$21:B263),"")</f>
        <v/>
      </c>
      <c r="C264" s="197"/>
      <c r="D264" s="73" t="s">
        <v>354</v>
      </c>
      <c r="E264" s="14"/>
      <c r="F264" s="19"/>
      <c r="G264" s="48"/>
      <c r="H264" s="48">
        <f t="shared" si="76"/>
        <v>0</v>
      </c>
      <c r="I264" s="48">
        <f t="shared" si="77"/>
        <v>0</v>
      </c>
      <c r="J264" s="49"/>
      <c r="K264" s="50">
        <f t="shared" si="78"/>
        <v>0</v>
      </c>
      <c r="L264" s="50"/>
      <c r="M264" s="48"/>
      <c r="N264" s="48">
        <f t="shared" si="79"/>
        <v>0</v>
      </c>
      <c r="O264" s="48">
        <f t="shared" si="80"/>
        <v>0</v>
      </c>
      <c r="P264" s="48">
        <f t="shared" si="81"/>
        <v>0</v>
      </c>
      <c r="Q264" s="48">
        <f t="shared" si="82"/>
        <v>0</v>
      </c>
      <c r="R264" s="41">
        <f t="shared" si="83"/>
        <v>0</v>
      </c>
    </row>
    <row r="265" spans="2:19" ht="13.5" thickBot="1" x14ac:dyDescent="0.25">
      <c r="B265" s="61" t="str">
        <f>IF(F265&lt;&gt;"",1+MAX($B$21:B264),"")</f>
        <v/>
      </c>
      <c r="C265" s="67"/>
      <c r="D265" s="73"/>
      <c r="E265" s="14"/>
      <c r="F265" s="19"/>
      <c r="G265" s="48"/>
      <c r="H265" s="48">
        <f t="shared" si="76"/>
        <v>0</v>
      </c>
      <c r="I265" s="48">
        <f t="shared" si="77"/>
        <v>0</v>
      </c>
      <c r="J265" s="49"/>
      <c r="K265" s="50">
        <f t="shared" si="78"/>
        <v>0</v>
      </c>
      <c r="L265" s="50"/>
      <c r="M265" s="48"/>
      <c r="N265" s="48">
        <f t="shared" si="79"/>
        <v>0</v>
      </c>
      <c r="O265" s="48">
        <f t="shared" si="80"/>
        <v>0</v>
      </c>
      <c r="P265" s="48">
        <f t="shared" si="81"/>
        <v>0</v>
      </c>
      <c r="Q265" s="48">
        <f t="shared" si="82"/>
        <v>0</v>
      </c>
      <c r="R265" s="41">
        <f t="shared" si="83"/>
        <v>0</v>
      </c>
      <c r="S265" s="9"/>
    </row>
    <row r="266" spans="2:19" s="9" customFormat="1" ht="26.25" thickBot="1" x14ac:dyDescent="0.25">
      <c r="B266" s="59" t="str">
        <f>IF(F266&lt;&gt;"",1+MAX($B$21:B265),"")</f>
        <v/>
      </c>
      <c r="C266" s="65" t="s">
        <v>45</v>
      </c>
      <c r="D266" s="72" t="s">
        <v>11</v>
      </c>
      <c r="E266" s="51"/>
      <c r="F266" s="51"/>
      <c r="G266" s="51"/>
      <c r="H266" s="52" t="s">
        <v>61</v>
      </c>
      <c r="I266" s="53">
        <f>SUM(I267:I343)</f>
        <v>51917.19923404001</v>
      </c>
      <c r="J266" s="54"/>
      <c r="K266" s="55" t="str">
        <f>ROUND(SUM(K267:K343),0) &amp; " " &amp; "HRS"</f>
        <v>855 HRS</v>
      </c>
      <c r="L266" s="56"/>
      <c r="M266" s="56"/>
      <c r="N266" s="56"/>
      <c r="O266" s="52" t="s">
        <v>62</v>
      </c>
      <c r="P266" s="53">
        <f>SUM(P267:P343)</f>
        <v>30853.380906852628</v>
      </c>
      <c r="Q266" s="57">
        <f>SUM(Q267:Q343)</f>
        <v>82770.580140892591</v>
      </c>
      <c r="R266" s="58">
        <f>(Q266)+(I266*$Q$7)+(P266*$Q$8)+(Q266*$Q$9)+($Q$10*((Q266)+(I266*$Q$7)+(P266*$Q$8)+(Q266*$Q$9)))+(Q266*$Q$11)</f>
        <v>116524.95156449212</v>
      </c>
    </row>
    <row r="267" spans="2:19" x14ac:dyDescent="0.2">
      <c r="B267" s="61" t="str">
        <f>IF(F267&lt;&gt;"",1+MAX($B$21:B266),"")</f>
        <v/>
      </c>
      <c r="C267" s="67"/>
      <c r="D267" s="73"/>
      <c r="E267" s="14"/>
      <c r="F267" s="19"/>
      <c r="G267" s="48"/>
      <c r="H267" s="48">
        <f t="shared" ref="H267:H330" si="88">G267*$T$2</f>
        <v>0</v>
      </c>
      <c r="I267" s="48">
        <f t="shared" ref="I267:I330" si="89">F267*H267</f>
        <v>0</v>
      </c>
      <c r="J267" s="49"/>
      <c r="K267" s="50">
        <f t="shared" ref="K267:K330" si="90">F267*J267</f>
        <v>0</v>
      </c>
      <c r="L267" s="50"/>
      <c r="M267" s="48"/>
      <c r="N267" s="48">
        <f t="shared" ref="N267:N330" si="91">M267*$U$2</f>
        <v>0</v>
      </c>
      <c r="O267" s="48">
        <f t="shared" ref="O267:O330" si="92">J267*N267</f>
        <v>0</v>
      </c>
      <c r="P267" s="48">
        <f t="shared" ref="P267:P330" si="93">F267*O267</f>
        <v>0</v>
      </c>
      <c r="Q267" s="48">
        <f t="shared" ref="Q267:Q330" si="94">I267+P267</f>
        <v>0</v>
      </c>
      <c r="R267" s="41">
        <f t="shared" ref="R267:R330" si="95">Q267+(I267*$Q$7)+(P267*$Q$8)+(Q267*$Q$9)+(Q267*$Q$11)+($Q$10*(Q267+(I267*$Q$7)+(P267*$Q$8)+(Q267*$Q$9)))</f>
        <v>0</v>
      </c>
      <c r="S267" s="9"/>
    </row>
    <row r="268" spans="2:19" x14ac:dyDescent="0.2">
      <c r="B268" s="62" t="str">
        <f>IF(F268&lt;&gt;"",1+MAX($B$21:B267),"")</f>
        <v/>
      </c>
      <c r="C268" s="68"/>
      <c r="D268" s="74" t="s">
        <v>77</v>
      </c>
      <c r="E268" s="14"/>
      <c r="F268" s="19"/>
      <c r="G268" s="48"/>
      <c r="H268" s="48">
        <f t="shared" si="88"/>
        <v>0</v>
      </c>
      <c r="I268" s="48">
        <f t="shared" si="89"/>
        <v>0</v>
      </c>
      <c r="J268" s="49"/>
      <c r="K268" s="50">
        <f t="shared" si="90"/>
        <v>0</v>
      </c>
      <c r="L268" s="50"/>
      <c r="M268" s="48"/>
      <c r="N268" s="48">
        <f t="shared" si="91"/>
        <v>0</v>
      </c>
      <c r="O268" s="48">
        <f t="shared" si="92"/>
        <v>0</v>
      </c>
      <c r="P268" s="48">
        <f t="shared" si="93"/>
        <v>0</v>
      </c>
      <c r="Q268" s="48">
        <f t="shared" si="94"/>
        <v>0</v>
      </c>
      <c r="R268" s="41">
        <f t="shared" si="95"/>
        <v>0</v>
      </c>
    </row>
    <row r="269" spans="2:19" x14ac:dyDescent="0.2">
      <c r="B269" s="61">
        <f>IF(F269&lt;&gt;"",1+MAX($B$21:B268),"")</f>
        <v>148</v>
      </c>
      <c r="C269" s="133" t="s">
        <v>146</v>
      </c>
      <c r="D269" s="73" t="s">
        <v>304</v>
      </c>
      <c r="E269" s="14" t="s">
        <v>74</v>
      </c>
      <c r="F269" s="19">
        <f>(8+50+34+37+28)*4+(46+4)*2+(9.25+13+90+41.5+9)*2</f>
        <v>1053.5</v>
      </c>
      <c r="G269" s="12">
        <v>0.65</v>
      </c>
      <c r="H269" s="12">
        <f t="shared" si="88"/>
        <v>0.61880000000000002</v>
      </c>
      <c r="I269" s="12">
        <f t="shared" si="89"/>
        <v>651.9058</v>
      </c>
      <c r="J269" s="11">
        <v>3.2000000000000001E-2</v>
      </c>
      <c r="K269" s="7">
        <f t="shared" si="90"/>
        <v>33.712000000000003</v>
      </c>
      <c r="L269" s="28" t="s">
        <v>1061</v>
      </c>
      <c r="M269" s="29">
        <v>52.05</v>
      </c>
      <c r="N269" s="48">
        <f t="shared" si="91"/>
        <v>38.048549999999999</v>
      </c>
      <c r="O269" s="48">
        <f t="shared" si="92"/>
        <v>1.2175536</v>
      </c>
      <c r="P269" s="48">
        <f t="shared" si="93"/>
        <v>1282.6927175999999</v>
      </c>
      <c r="Q269" s="48">
        <f t="shared" si="94"/>
        <v>1934.5985175999999</v>
      </c>
      <c r="R269" s="41">
        <f t="shared" si="95"/>
        <v>2740.7237671351995</v>
      </c>
    </row>
    <row r="270" spans="2:19" x14ac:dyDescent="0.2">
      <c r="B270" s="61">
        <f>IF(F270&lt;&gt;"",1+MAX($B$21:B269),"")</f>
        <v>149</v>
      </c>
      <c r="C270" s="67" t="s">
        <v>496</v>
      </c>
      <c r="D270" s="73" t="s">
        <v>500</v>
      </c>
      <c r="E270" s="14" t="s">
        <v>74</v>
      </c>
      <c r="F270" s="19">
        <f>910+420</f>
        <v>1330</v>
      </c>
      <c r="G270" s="12">
        <v>0.43</v>
      </c>
      <c r="H270" s="12">
        <f t="shared" si="88"/>
        <v>0.40936</v>
      </c>
      <c r="I270" s="12">
        <f t="shared" si="89"/>
        <v>544.44880000000001</v>
      </c>
      <c r="J270" s="11">
        <v>2.9000000000000001E-2</v>
      </c>
      <c r="K270" s="7">
        <f t="shared" si="90"/>
        <v>38.57</v>
      </c>
      <c r="L270" s="28" t="s">
        <v>1061</v>
      </c>
      <c r="M270" s="29">
        <v>52.05</v>
      </c>
      <c r="N270" s="48">
        <f t="shared" si="91"/>
        <v>38.048549999999999</v>
      </c>
      <c r="O270" s="48">
        <f t="shared" si="92"/>
        <v>1.10340795</v>
      </c>
      <c r="P270" s="48">
        <f t="shared" si="93"/>
        <v>1467.5325735000001</v>
      </c>
      <c r="Q270" s="48">
        <f t="shared" si="94"/>
        <v>2011.9813735000002</v>
      </c>
      <c r="R270" s="41">
        <f t="shared" si="95"/>
        <v>2854.4372867045008</v>
      </c>
    </row>
    <row r="271" spans="2:19" x14ac:dyDescent="0.2">
      <c r="B271" s="61">
        <f>IF(F271&lt;&gt;"",1+MAX($B$21:B270),"")</f>
        <v>150</v>
      </c>
      <c r="C271" s="67" t="s">
        <v>441</v>
      </c>
      <c r="D271" s="73" t="s">
        <v>427</v>
      </c>
      <c r="E271" s="14" t="s">
        <v>74</v>
      </c>
      <c r="F271" s="19">
        <v>221.96</v>
      </c>
      <c r="G271" s="12">
        <v>0.66</v>
      </c>
      <c r="H271" s="12">
        <f t="shared" si="88"/>
        <v>0.62831999999999999</v>
      </c>
      <c r="I271" s="12">
        <f t="shared" si="89"/>
        <v>139.46190720000001</v>
      </c>
      <c r="J271" s="11">
        <v>4.1000000000000002E-2</v>
      </c>
      <c r="K271" s="7">
        <f t="shared" si="90"/>
        <v>9.1003600000000002</v>
      </c>
      <c r="L271" s="28" t="s">
        <v>1061</v>
      </c>
      <c r="M271" s="29">
        <v>52.05</v>
      </c>
      <c r="N271" s="48">
        <f t="shared" si="91"/>
        <v>38.048549999999999</v>
      </c>
      <c r="O271" s="48">
        <f t="shared" si="92"/>
        <v>1.55999055</v>
      </c>
      <c r="P271" s="48">
        <f t="shared" si="93"/>
        <v>346.25550247799998</v>
      </c>
      <c r="Q271" s="48">
        <f t="shared" si="94"/>
        <v>485.71740967799997</v>
      </c>
      <c r="R271" s="41">
        <f t="shared" si="95"/>
        <v>688.851209250186</v>
      </c>
    </row>
    <row r="272" spans="2:19" x14ac:dyDescent="0.2">
      <c r="B272" s="61" t="str">
        <f>IF(F272&lt;&gt;"",1+MAX($B$21:B271),"")</f>
        <v/>
      </c>
      <c r="C272" s="67"/>
      <c r="D272" s="73"/>
      <c r="E272" s="14"/>
      <c r="F272" s="19"/>
      <c r="G272" s="48"/>
      <c r="H272" s="48">
        <f t="shared" si="88"/>
        <v>0</v>
      </c>
      <c r="I272" s="48">
        <f t="shared" si="89"/>
        <v>0</v>
      </c>
      <c r="J272" s="49"/>
      <c r="K272" s="50">
        <f t="shared" si="90"/>
        <v>0</v>
      </c>
      <c r="L272" s="50"/>
      <c r="M272" s="48"/>
      <c r="N272" s="48">
        <f t="shared" si="91"/>
        <v>0</v>
      </c>
      <c r="O272" s="48">
        <f t="shared" si="92"/>
        <v>0</v>
      </c>
      <c r="P272" s="48">
        <f t="shared" si="93"/>
        <v>0</v>
      </c>
      <c r="Q272" s="48">
        <f t="shared" si="94"/>
        <v>0</v>
      </c>
      <c r="R272" s="41">
        <f t="shared" si="95"/>
        <v>0</v>
      </c>
    </row>
    <row r="273" spans="2:18" x14ac:dyDescent="0.2">
      <c r="B273" s="62" t="str">
        <f>IF(F273&lt;&gt;"",1+MAX($B$21:B272),"")</f>
        <v/>
      </c>
      <c r="C273" s="68"/>
      <c r="D273" s="74" t="s">
        <v>78</v>
      </c>
      <c r="E273" s="14"/>
      <c r="F273" s="19"/>
      <c r="G273" s="48"/>
      <c r="H273" s="48">
        <f t="shared" si="88"/>
        <v>0</v>
      </c>
      <c r="I273" s="48">
        <f t="shared" si="89"/>
        <v>0</v>
      </c>
      <c r="J273" s="49"/>
      <c r="K273" s="50">
        <f t="shared" si="90"/>
        <v>0</v>
      </c>
      <c r="L273" s="50"/>
      <c r="M273" s="48"/>
      <c r="N273" s="48">
        <f t="shared" si="91"/>
        <v>0</v>
      </c>
      <c r="O273" s="48">
        <f t="shared" si="92"/>
        <v>0</v>
      </c>
      <c r="P273" s="48">
        <f t="shared" si="93"/>
        <v>0</v>
      </c>
      <c r="Q273" s="48">
        <f t="shared" si="94"/>
        <v>0</v>
      </c>
      <c r="R273" s="41">
        <f t="shared" si="95"/>
        <v>0</v>
      </c>
    </row>
    <row r="274" spans="2:18" ht="25.5" x14ac:dyDescent="0.2">
      <c r="B274" s="61">
        <f>IF(F274&lt;&gt;"",1+MAX($B$21:B273),"")</f>
        <v>151</v>
      </c>
      <c r="C274" s="67" t="s">
        <v>237</v>
      </c>
      <c r="D274" s="73" t="s">
        <v>220</v>
      </c>
      <c r="E274" s="14" t="s">
        <v>72</v>
      </c>
      <c r="F274" s="19">
        <f>1918+190*2</f>
        <v>2298</v>
      </c>
      <c r="G274" s="12">
        <v>1.91</v>
      </c>
      <c r="H274" s="12">
        <f t="shared" si="88"/>
        <v>1.8183199999999999</v>
      </c>
      <c r="I274" s="12">
        <f t="shared" si="89"/>
        <v>4178.4993599999998</v>
      </c>
      <c r="J274" s="11">
        <v>1.0999999999999999E-2</v>
      </c>
      <c r="K274" s="7">
        <f t="shared" si="90"/>
        <v>25.277999999999999</v>
      </c>
      <c r="L274" s="28" t="s">
        <v>1048</v>
      </c>
      <c r="M274" s="29">
        <v>53.15</v>
      </c>
      <c r="N274" s="48">
        <f t="shared" si="91"/>
        <v>38.852649999999997</v>
      </c>
      <c r="O274" s="48">
        <f t="shared" si="92"/>
        <v>0.42737914999999993</v>
      </c>
      <c r="P274" s="48">
        <f t="shared" si="93"/>
        <v>982.1172866999998</v>
      </c>
      <c r="Q274" s="48">
        <f t="shared" si="94"/>
        <v>5160.6166466999994</v>
      </c>
      <c r="R274" s="41">
        <f t="shared" si="95"/>
        <v>7236.3378744248994</v>
      </c>
    </row>
    <row r="275" spans="2:18" x14ac:dyDescent="0.2">
      <c r="B275" s="61">
        <f>IF(F275&lt;&gt;"",1+MAX($B$21:B274),"")</f>
        <v>152</v>
      </c>
      <c r="C275" s="198" t="s">
        <v>319</v>
      </c>
      <c r="D275" s="73" t="s">
        <v>302</v>
      </c>
      <c r="E275" s="14" t="s">
        <v>72</v>
      </c>
      <c r="F275" s="19">
        <f>34.2*12.5</f>
        <v>427.50000000000006</v>
      </c>
      <c r="G275" s="12">
        <v>1.1599999999999999</v>
      </c>
      <c r="H275" s="12">
        <f t="shared" si="88"/>
        <v>1.10432</v>
      </c>
      <c r="I275" s="12">
        <f t="shared" si="89"/>
        <v>472.09680000000003</v>
      </c>
      <c r="J275" s="11">
        <v>7.0000000000000001E-3</v>
      </c>
      <c r="K275" s="7">
        <f t="shared" si="90"/>
        <v>2.9925000000000006</v>
      </c>
      <c r="L275" s="28" t="s">
        <v>1048</v>
      </c>
      <c r="M275" s="29">
        <v>53.15</v>
      </c>
      <c r="N275" s="48">
        <f t="shared" si="91"/>
        <v>38.852649999999997</v>
      </c>
      <c r="O275" s="48">
        <f t="shared" si="92"/>
        <v>0.27196854999999998</v>
      </c>
      <c r="P275" s="48">
        <f t="shared" si="93"/>
        <v>116.26655512500001</v>
      </c>
      <c r="Q275" s="48">
        <f t="shared" si="94"/>
        <v>588.363355125</v>
      </c>
      <c r="R275" s="41">
        <f t="shared" si="95"/>
        <v>825.14834568337494</v>
      </c>
    </row>
    <row r="276" spans="2:18" x14ac:dyDescent="0.2">
      <c r="B276" s="61">
        <f>IF(F276&lt;&gt;"",1+MAX($B$21:B275),"")</f>
        <v>153</v>
      </c>
      <c r="C276" s="196"/>
      <c r="D276" s="73" t="s">
        <v>303</v>
      </c>
      <c r="E276" s="14" t="s">
        <v>72</v>
      </c>
      <c r="F276" s="19">
        <f>28.5*12.5</f>
        <v>356.25</v>
      </c>
      <c r="G276" s="12">
        <v>2.23</v>
      </c>
      <c r="H276" s="12">
        <f t="shared" si="88"/>
        <v>2.12296</v>
      </c>
      <c r="I276" s="12">
        <f t="shared" si="89"/>
        <v>756.30449999999996</v>
      </c>
      <c r="J276" s="11">
        <v>7.0000000000000001E-3</v>
      </c>
      <c r="K276" s="7">
        <f t="shared" si="90"/>
        <v>2.4937499999999999</v>
      </c>
      <c r="L276" s="28" t="s">
        <v>1048</v>
      </c>
      <c r="M276" s="29">
        <v>53.15</v>
      </c>
      <c r="N276" s="48">
        <f t="shared" si="91"/>
        <v>38.852649999999997</v>
      </c>
      <c r="O276" s="48">
        <f t="shared" si="92"/>
        <v>0.27196854999999998</v>
      </c>
      <c r="P276" s="48">
        <f t="shared" si="93"/>
        <v>96.888795937499992</v>
      </c>
      <c r="Q276" s="48">
        <f t="shared" si="94"/>
        <v>853.1932959374999</v>
      </c>
      <c r="R276" s="41">
        <f t="shared" si="95"/>
        <v>1194.3639156028123</v>
      </c>
    </row>
    <row r="277" spans="2:18" x14ac:dyDescent="0.2">
      <c r="B277" s="61">
        <f>IF(F277&lt;&gt;"",1+MAX($B$21:B276),"")</f>
        <v>154</v>
      </c>
      <c r="C277" s="196"/>
      <c r="D277" s="73" t="s">
        <v>393</v>
      </c>
      <c r="E277" s="14" t="s">
        <v>72</v>
      </c>
      <c r="F277" s="19">
        <f>46*2</f>
        <v>92</v>
      </c>
      <c r="G277" s="12">
        <v>1.1599999999999999</v>
      </c>
      <c r="H277" s="12">
        <f t="shared" si="88"/>
        <v>1.10432</v>
      </c>
      <c r="I277" s="12">
        <f t="shared" si="89"/>
        <v>101.59743999999999</v>
      </c>
      <c r="J277" s="11">
        <v>7.0000000000000001E-3</v>
      </c>
      <c r="K277" s="7">
        <f t="shared" si="90"/>
        <v>0.64400000000000002</v>
      </c>
      <c r="L277" s="28" t="s">
        <v>1048</v>
      </c>
      <c r="M277" s="29">
        <v>53.15</v>
      </c>
      <c r="N277" s="48">
        <f t="shared" si="91"/>
        <v>38.852649999999997</v>
      </c>
      <c r="O277" s="48">
        <f t="shared" si="92"/>
        <v>0.27196854999999998</v>
      </c>
      <c r="P277" s="48">
        <f t="shared" si="93"/>
        <v>25.021106599999996</v>
      </c>
      <c r="Q277" s="48">
        <f t="shared" si="94"/>
        <v>126.61854659999999</v>
      </c>
      <c r="R277" s="41">
        <f t="shared" si="95"/>
        <v>177.57578433419997</v>
      </c>
    </row>
    <row r="278" spans="2:18" x14ac:dyDescent="0.2">
      <c r="B278" s="61">
        <f>IF(F278&lt;&gt;"",1+MAX($B$21:B277),"")</f>
        <v>155</v>
      </c>
      <c r="C278" s="196"/>
      <c r="D278" s="73" t="s">
        <v>310</v>
      </c>
      <c r="E278" s="14" t="s">
        <v>72</v>
      </c>
      <c r="F278" s="19">
        <f>(9.25*12.25)</f>
        <v>113.3125</v>
      </c>
      <c r="G278" s="12">
        <v>2.23</v>
      </c>
      <c r="H278" s="12">
        <f t="shared" si="88"/>
        <v>2.12296</v>
      </c>
      <c r="I278" s="12">
        <f t="shared" si="89"/>
        <v>240.55790500000001</v>
      </c>
      <c r="J278" s="11">
        <v>7.0000000000000001E-3</v>
      </c>
      <c r="K278" s="7">
        <f t="shared" si="90"/>
        <v>0.79318750000000005</v>
      </c>
      <c r="L278" s="28" t="s">
        <v>1048</v>
      </c>
      <c r="M278" s="29">
        <v>53.15</v>
      </c>
      <c r="N278" s="48">
        <f t="shared" si="91"/>
        <v>38.852649999999997</v>
      </c>
      <c r="O278" s="48">
        <f t="shared" si="92"/>
        <v>0.27196854999999998</v>
      </c>
      <c r="P278" s="48">
        <f t="shared" si="93"/>
        <v>30.817436321874997</v>
      </c>
      <c r="Q278" s="48">
        <f t="shared" si="94"/>
        <v>271.375341321875</v>
      </c>
      <c r="R278" s="41">
        <f t="shared" si="95"/>
        <v>379.8915401733156</v>
      </c>
    </row>
    <row r="279" spans="2:18" x14ac:dyDescent="0.2">
      <c r="B279" s="61">
        <f>IF(F279&lt;&gt;"",1+MAX($B$21:B278),"")</f>
        <v>156</v>
      </c>
      <c r="C279" s="197"/>
      <c r="D279" s="73" t="s">
        <v>311</v>
      </c>
      <c r="E279" s="14" t="s">
        <v>72</v>
      </c>
      <c r="F279" s="19">
        <f>(13*4+90*12.75+41.5*15.75+9*15.75)+(46*1.58+38*2.58+97*4.58+6*7.17)</f>
        <v>2652.875</v>
      </c>
      <c r="G279" s="12">
        <v>2.89</v>
      </c>
      <c r="H279" s="12">
        <f t="shared" si="88"/>
        <v>2.7512799999999999</v>
      </c>
      <c r="I279" s="12">
        <f t="shared" si="89"/>
        <v>7298.8019299999996</v>
      </c>
      <c r="J279" s="11">
        <v>7.0000000000000001E-3</v>
      </c>
      <c r="K279" s="7">
        <f t="shared" si="90"/>
        <v>18.570125000000001</v>
      </c>
      <c r="L279" s="28" t="s">
        <v>1048</v>
      </c>
      <c r="M279" s="29">
        <v>53.15</v>
      </c>
      <c r="N279" s="48">
        <f t="shared" si="91"/>
        <v>38.852649999999997</v>
      </c>
      <c r="O279" s="48">
        <f t="shared" si="92"/>
        <v>0.27196854999999998</v>
      </c>
      <c r="P279" s="48">
        <f t="shared" si="93"/>
        <v>721.49856708124992</v>
      </c>
      <c r="Q279" s="48">
        <f t="shared" si="94"/>
        <v>8020.3004970812499</v>
      </c>
      <c r="R279" s="41">
        <f t="shared" si="95"/>
        <v>11221.625470276944</v>
      </c>
    </row>
    <row r="280" spans="2:18" x14ac:dyDescent="0.2">
      <c r="B280" s="61">
        <f>IF(F280&lt;&gt;"",1+MAX($B$21:B279),"")</f>
        <v>157</v>
      </c>
      <c r="C280" s="198" t="s">
        <v>320</v>
      </c>
      <c r="D280" s="73" t="s">
        <v>394</v>
      </c>
      <c r="E280" s="14" t="s">
        <v>72</v>
      </c>
      <c r="F280" s="19">
        <f>46*2.5</f>
        <v>115</v>
      </c>
      <c r="G280" s="12">
        <v>1.43</v>
      </c>
      <c r="H280" s="12">
        <f t="shared" si="88"/>
        <v>1.3613599999999999</v>
      </c>
      <c r="I280" s="12">
        <f t="shared" si="89"/>
        <v>156.5564</v>
      </c>
      <c r="J280" s="11">
        <v>1.7000000000000001E-2</v>
      </c>
      <c r="K280" s="7">
        <f t="shared" si="90"/>
        <v>1.9550000000000001</v>
      </c>
      <c r="L280" s="28" t="s">
        <v>1062</v>
      </c>
      <c r="M280" s="29">
        <v>46.2</v>
      </c>
      <c r="N280" s="48">
        <f t="shared" si="91"/>
        <v>33.772199999999998</v>
      </c>
      <c r="O280" s="48">
        <f t="shared" si="92"/>
        <v>0.57412739999999995</v>
      </c>
      <c r="P280" s="48">
        <f t="shared" si="93"/>
        <v>66.024650999999992</v>
      </c>
      <c r="Q280" s="48">
        <f t="shared" si="94"/>
        <v>222.581051</v>
      </c>
      <c r="R280" s="41">
        <f t="shared" si="95"/>
        <v>312.83253393699999</v>
      </c>
    </row>
    <row r="281" spans="2:18" x14ac:dyDescent="0.2">
      <c r="B281" s="61">
        <f>IF(F281&lt;&gt;"",1+MAX($B$21:B280),"")</f>
        <v>158</v>
      </c>
      <c r="C281" s="196"/>
      <c r="D281" s="73" t="s">
        <v>413</v>
      </c>
      <c r="E281" s="14" t="s">
        <v>72</v>
      </c>
      <c r="F281" s="19">
        <v>285</v>
      </c>
      <c r="G281" s="12">
        <v>1.91</v>
      </c>
      <c r="H281" s="12">
        <f t="shared" si="88"/>
        <v>1.8183199999999999</v>
      </c>
      <c r="I281" s="12">
        <f t="shared" ref="I281:I282" si="96">F281*H281</f>
        <v>518.22119999999995</v>
      </c>
      <c r="J281" s="11">
        <v>1.0999999999999999E-2</v>
      </c>
      <c r="K281" s="7">
        <f t="shared" ref="K281:K282" si="97">F281*J281</f>
        <v>3.1349999999999998</v>
      </c>
      <c r="L281" s="28" t="s">
        <v>1048</v>
      </c>
      <c r="M281" s="29">
        <v>53.15</v>
      </c>
      <c r="N281" s="48">
        <f t="shared" si="91"/>
        <v>38.852649999999997</v>
      </c>
      <c r="O281" s="48">
        <f t="shared" si="92"/>
        <v>0.42737914999999993</v>
      </c>
      <c r="P281" s="48">
        <f t="shared" si="93"/>
        <v>121.80305774999998</v>
      </c>
      <c r="Q281" s="48">
        <f t="shared" si="94"/>
        <v>640.02425774999995</v>
      </c>
      <c r="R281" s="41">
        <f t="shared" si="95"/>
        <v>897.45704708924984</v>
      </c>
    </row>
    <row r="282" spans="2:18" x14ac:dyDescent="0.2">
      <c r="B282" s="61">
        <f>IF(F282&lt;&gt;"",1+MAX($B$21:B281),"")</f>
        <v>159</v>
      </c>
      <c r="C282" s="197"/>
      <c r="D282" s="73" t="s">
        <v>414</v>
      </c>
      <c r="E282" s="14" t="s">
        <v>72</v>
      </c>
      <c r="F282" s="19">
        <v>1864</v>
      </c>
      <c r="G282" s="12">
        <v>3.85</v>
      </c>
      <c r="H282" s="12">
        <f t="shared" si="88"/>
        <v>3.6652</v>
      </c>
      <c r="I282" s="12">
        <f t="shared" si="96"/>
        <v>6831.9327999999996</v>
      </c>
      <c r="J282" s="11">
        <v>1.7000000000000001E-2</v>
      </c>
      <c r="K282" s="7">
        <f t="shared" si="97"/>
        <v>31.688000000000002</v>
      </c>
      <c r="L282" s="28" t="s">
        <v>1062</v>
      </c>
      <c r="M282" s="29">
        <v>46.2</v>
      </c>
      <c r="N282" s="48">
        <f t="shared" si="91"/>
        <v>33.772199999999998</v>
      </c>
      <c r="O282" s="48">
        <f t="shared" si="92"/>
        <v>0.57412739999999995</v>
      </c>
      <c r="P282" s="48">
        <f t="shared" si="93"/>
        <v>1070.1734735999999</v>
      </c>
      <c r="Q282" s="48">
        <f t="shared" si="94"/>
        <v>7902.1062735999994</v>
      </c>
      <c r="R282" s="41">
        <f t="shared" si="95"/>
        <v>11067.248508747201</v>
      </c>
    </row>
    <row r="283" spans="2:18" x14ac:dyDescent="0.2">
      <c r="B283" s="61">
        <f>IF(F283&lt;&gt;"",1+MAX($B$21:B282),"")</f>
        <v>160</v>
      </c>
      <c r="C283" s="66" t="s">
        <v>441</v>
      </c>
      <c r="D283" s="73" t="s">
        <v>422</v>
      </c>
      <c r="E283" s="14" t="s">
        <v>72</v>
      </c>
      <c r="F283" s="19">
        <f>400+490</f>
        <v>890</v>
      </c>
      <c r="G283" s="12">
        <v>1.43</v>
      </c>
      <c r="H283" s="12">
        <f t="shared" si="88"/>
        <v>1.3613599999999999</v>
      </c>
      <c r="I283" s="12">
        <f t="shared" si="89"/>
        <v>1211.6104</v>
      </c>
      <c r="J283" s="11">
        <v>1.7000000000000001E-2</v>
      </c>
      <c r="K283" s="7">
        <f t="shared" si="90"/>
        <v>15.13</v>
      </c>
      <c r="L283" s="28" t="s">
        <v>1062</v>
      </c>
      <c r="M283" s="29">
        <v>46.2</v>
      </c>
      <c r="N283" s="48">
        <f t="shared" si="91"/>
        <v>33.772199999999998</v>
      </c>
      <c r="O283" s="48">
        <f t="shared" si="92"/>
        <v>0.57412739999999995</v>
      </c>
      <c r="P283" s="48">
        <f t="shared" si="93"/>
        <v>510.97338599999995</v>
      </c>
      <c r="Q283" s="48">
        <f t="shared" si="94"/>
        <v>1722.5837859999999</v>
      </c>
      <c r="R283" s="41">
        <f t="shared" si="95"/>
        <v>2421.0517843820003</v>
      </c>
    </row>
    <row r="284" spans="2:18" x14ac:dyDescent="0.2">
      <c r="B284" s="61">
        <f>IF(F284&lt;&gt;"",1+MAX($B$21:B283),"")</f>
        <v>161</v>
      </c>
      <c r="C284" s="66" t="s">
        <v>573</v>
      </c>
      <c r="D284" s="73" t="s">
        <v>582</v>
      </c>
      <c r="E284" s="14" t="s">
        <v>72</v>
      </c>
      <c r="F284" s="19">
        <v>76</v>
      </c>
      <c r="G284" s="12">
        <v>1.75</v>
      </c>
      <c r="H284" s="12">
        <f t="shared" si="88"/>
        <v>1.6659999999999999</v>
      </c>
      <c r="I284" s="12">
        <f t="shared" si="89"/>
        <v>126.616</v>
      </c>
      <c r="J284" s="11">
        <v>8.9999999999999993E-3</v>
      </c>
      <c r="K284" s="7">
        <f t="shared" si="90"/>
        <v>0.68399999999999994</v>
      </c>
      <c r="L284" s="28" t="s">
        <v>1048</v>
      </c>
      <c r="M284" s="29">
        <v>53.15</v>
      </c>
      <c r="N284" s="48">
        <f t="shared" si="91"/>
        <v>38.852649999999997</v>
      </c>
      <c r="O284" s="48">
        <f t="shared" si="92"/>
        <v>0.34967384999999995</v>
      </c>
      <c r="P284" s="48">
        <f t="shared" si="93"/>
        <v>26.575212599999997</v>
      </c>
      <c r="Q284" s="48">
        <f t="shared" si="94"/>
        <v>153.1912126</v>
      </c>
      <c r="R284" s="41">
        <f t="shared" si="95"/>
        <v>214.7294107802</v>
      </c>
    </row>
    <row r="285" spans="2:18" x14ac:dyDescent="0.2">
      <c r="B285" s="61" t="str">
        <f>IF(F285&lt;&gt;"",1+MAX($B$21:B284),"")</f>
        <v/>
      </c>
      <c r="C285" s="67"/>
      <c r="D285" s="73"/>
      <c r="E285" s="14"/>
      <c r="F285" s="19"/>
      <c r="G285" s="48"/>
      <c r="H285" s="48">
        <f t="shared" si="88"/>
        <v>0</v>
      </c>
      <c r="I285" s="48">
        <f t="shared" si="89"/>
        <v>0</v>
      </c>
      <c r="J285" s="49"/>
      <c r="K285" s="50">
        <f t="shared" si="90"/>
        <v>0</v>
      </c>
      <c r="L285" s="50"/>
      <c r="M285" s="48"/>
      <c r="N285" s="48">
        <f t="shared" si="91"/>
        <v>0</v>
      </c>
      <c r="O285" s="48">
        <f t="shared" si="92"/>
        <v>0</v>
      </c>
      <c r="P285" s="48">
        <f t="shared" si="93"/>
        <v>0</v>
      </c>
      <c r="Q285" s="48">
        <f t="shared" si="94"/>
        <v>0</v>
      </c>
      <c r="R285" s="41">
        <f t="shared" si="95"/>
        <v>0</v>
      </c>
    </row>
    <row r="286" spans="2:18" x14ac:dyDescent="0.2">
      <c r="B286" s="62" t="str">
        <f>IF(F286&lt;&gt;"",1+MAX($B$21:B285),"")</f>
        <v/>
      </c>
      <c r="C286" s="68"/>
      <c r="D286" s="74" t="s">
        <v>382</v>
      </c>
      <c r="E286" s="14"/>
      <c r="F286" s="19"/>
      <c r="G286" s="48"/>
      <c r="H286" s="48">
        <f t="shared" si="88"/>
        <v>0</v>
      </c>
      <c r="I286" s="48">
        <f t="shared" si="89"/>
        <v>0</v>
      </c>
      <c r="J286" s="49"/>
      <c r="K286" s="50">
        <f t="shared" si="90"/>
        <v>0</v>
      </c>
      <c r="L286" s="50"/>
      <c r="M286" s="48"/>
      <c r="N286" s="48">
        <f t="shared" si="91"/>
        <v>0</v>
      </c>
      <c r="O286" s="48">
        <f t="shared" si="92"/>
        <v>0</v>
      </c>
      <c r="P286" s="48">
        <f t="shared" si="93"/>
        <v>0</v>
      </c>
      <c r="Q286" s="48">
        <f t="shared" si="94"/>
        <v>0</v>
      </c>
      <c r="R286" s="41">
        <f t="shared" si="95"/>
        <v>0</v>
      </c>
    </row>
    <row r="287" spans="2:18" x14ac:dyDescent="0.2">
      <c r="B287" s="61">
        <f>IF(F287&lt;&gt;"",1+MAX($B$21:B286),"")</f>
        <v>162</v>
      </c>
      <c r="C287" s="198" t="s">
        <v>320</v>
      </c>
      <c r="D287" s="73" t="s">
        <v>416</v>
      </c>
      <c r="E287" s="14" t="s">
        <v>72</v>
      </c>
      <c r="F287" s="19">
        <f>1864.28+285+56.46*1+43.3*2.08+88*3.5+(56.46+43.3+88)*1.25+46*2+120*0.33+40*0.67+139*0.33</f>
        <v>3042.7739999999994</v>
      </c>
      <c r="G287" s="12">
        <v>1.43</v>
      </c>
      <c r="H287" s="12">
        <f t="shared" si="88"/>
        <v>1.3613599999999999</v>
      </c>
      <c r="I287" s="12">
        <f t="shared" si="89"/>
        <v>4142.3108126399993</v>
      </c>
      <c r="J287" s="11">
        <v>2.5000000000000001E-2</v>
      </c>
      <c r="K287" s="7">
        <f t="shared" si="90"/>
        <v>76.069349999999986</v>
      </c>
      <c r="L287" s="28" t="s">
        <v>1063</v>
      </c>
      <c r="M287" s="29">
        <v>46.78</v>
      </c>
      <c r="N287" s="48">
        <f t="shared" si="91"/>
        <v>34.196179999999998</v>
      </c>
      <c r="O287" s="48">
        <f t="shared" si="92"/>
        <v>0.85490449999999996</v>
      </c>
      <c r="P287" s="48">
        <f t="shared" si="93"/>
        <v>2601.2811850829994</v>
      </c>
      <c r="Q287" s="48">
        <f t="shared" si="94"/>
        <v>6743.5919977229987</v>
      </c>
      <c r="R287" s="41">
        <f t="shared" si="95"/>
        <v>9496.3510698839364</v>
      </c>
    </row>
    <row r="288" spans="2:18" x14ac:dyDescent="0.2">
      <c r="B288" s="61" t="str">
        <f>IF(F288&lt;&gt;"",1+MAX($B$21:B287),"")</f>
        <v/>
      </c>
      <c r="C288" s="196"/>
      <c r="D288" s="73"/>
      <c r="E288" s="14"/>
      <c r="F288" s="19"/>
      <c r="G288" s="48"/>
      <c r="H288" s="48">
        <f t="shared" si="88"/>
        <v>0</v>
      </c>
      <c r="I288" s="48">
        <f t="shared" si="89"/>
        <v>0</v>
      </c>
      <c r="J288" s="49"/>
      <c r="K288" s="50">
        <f t="shared" si="90"/>
        <v>0</v>
      </c>
      <c r="L288" s="50"/>
      <c r="M288" s="48"/>
      <c r="N288" s="48">
        <f t="shared" si="91"/>
        <v>0</v>
      </c>
      <c r="O288" s="48">
        <f t="shared" si="92"/>
        <v>0</v>
      </c>
      <c r="P288" s="48">
        <f t="shared" si="93"/>
        <v>0</v>
      </c>
      <c r="Q288" s="48">
        <f t="shared" si="94"/>
        <v>0</v>
      </c>
      <c r="R288" s="41">
        <f t="shared" si="95"/>
        <v>0</v>
      </c>
    </row>
    <row r="289" spans="2:18" x14ac:dyDescent="0.2">
      <c r="B289" s="61" t="str">
        <f>IF(F289&lt;&gt;"",1+MAX($B$21:B288),"")</f>
        <v/>
      </c>
      <c r="C289" s="196"/>
      <c r="D289" s="75" t="s">
        <v>395</v>
      </c>
      <c r="E289" s="14"/>
      <c r="F289" s="19"/>
      <c r="G289" s="48"/>
      <c r="H289" s="48">
        <f t="shared" si="88"/>
        <v>0</v>
      </c>
      <c r="I289" s="48">
        <f t="shared" si="89"/>
        <v>0</v>
      </c>
      <c r="J289" s="49"/>
      <c r="K289" s="50">
        <f t="shared" si="90"/>
        <v>0</v>
      </c>
      <c r="L289" s="50"/>
      <c r="M289" s="48"/>
      <c r="N289" s="48">
        <f t="shared" si="91"/>
        <v>0</v>
      </c>
      <c r="O289" s="48">
        <f t="shared" si="92"/>
        <v>0</v>
      </c>
      <c r="P289" s="48">
        <f t="shared" si="93"/>
        <v>0</v>
      </c>
      <c r="Q289" s="48">
        <f t="shared" si="94"/>
        <v>0</v>
      </c>
      <c r="R289" s="41">
        <f t="shared" si="95"/>
        <v>0</v>
      </c>
    </row>
    <row r="290" spans="2:18" x14ac:dyDescent="0.2">
      <c r="B290" s="61">
        <f>IF(F290&lt;&gt;"",1+MAX($B$21:B289),"")</f>
        <v>163</v>
      </c>
      <c r="C290" s="196"/>
      <c r="D290" s="73" t="s">
        <v>396</v>
      </c>
      <c r="E290" s="14" t="s">
        <v>72</v>
      </c>
      <c r="F290" s="19">
        <f>1864+46*2</f>
        <v>1956</v>
      </c>
      <c r="G290" s="12">
        <v>1.3680000000000001</v>
      </c>
      <c r="H290" s="12">
        <f t="shared" si="88"/>
        <v>1.3023359999999999</v>
      </c>
      <c r="I290" s="12">
        <f t="shared" si="89"/>
        <v>2547.3692160000001</v>
      </c>
      <c r="J290" s="11">
        <v>1.4249999999999999E-2</v>
      </c>
      <c r="K290" s="7">
        <f t="shared" si="90"/>
        <v>27.872999999999998</v>
      </c>
      <c r="L290" s="28" t="s">
        <v>1052</v>
      </c>
      <c r="M290" s="29">
        <v>53.15</v>
      </c>
      <c r="N290" s="48">
        <f t="shared" si="91"/>
        <v>38.852649999999997</v>
      </c>
      <c r="O290" s="48">
        <f t="shared" si="92"/>
        <v>0.55365026249999993</v>
      </c>
      <c r="P290" s="48">
        <f t="shared" si="93"/>
        <v>1082.9399134499999</v>
      </c>
      <c r="Q290" s="48">
        <f t="shared" si="94"/>
        <v>3630.30912945</v>
      </c>
      <c r="R290" s="41">
        <f t="shared" si="95"/>
        <v>5102.5016297155498</v>
      </c>
    </row>
    <row r="291" spans="2:18" x14ac:dyDescent="0.2">
      <c r="B291" s="61" t="str">
        <f>IF(F291&lt;&gt;"",1+MAX($B$21:B290),"")</f>
        <v/>
      </c>
      <c r="C291" s="196"/>
      <c r="D291" s="73"/>
      <c r="E291" s="14"/>
      <c r="F291" s="19"/>
      <c r="G291" s="48"/>
      <c r="H291" s="48">
        <f t="shared" si="88"/>
        <v>0</v>
      </c>
      <c r="I291" s="48">
        <f t="shared" si="89"/>
        <v>0</v>
      </c>
      <c r="J291" s="49"/>
      <c r="K291" s="50">
        <f t="shared" si="90"/>
        <v>0</v>
      </c>
      <c r="L291" s="50"/>
      <c r="M291" s="48"/>
      <c r="N291" s="48">
        <f t="shared" si="91"/>
        <v>0</v>
      </c>
      <c r="O291" s="48">
        <f t="shared" si="92"/>
        <v>0</v>
      </c>
      <c r="P291" s="48">
        <f t="shared" si="93"/>
        <v>0</v>
      </c>
      <c r="Q291" s="48">
        <f t="shared" si="94"/>
        <v>0</v>
      </c>
      <c r="R291" s="41">
        <f t="shared" si="95"/>
        <v>0</v>
      </c>
    </row>
    <row r="292" spans="2:18" x14ac:dyDescent="0.2">
      <c r="B292" s="61" t="str">
        <f>IF(F292&lt;&gt;"",1+MAX($B$21:B291),"")</f>
        <v/>
      </c>
      <c r="C292" s="196"/>
      <c r="D292" s="75" t="s">
        <v>383</v>
      </c>
      <c r="E292" s="14"/>
      <c r="F292" s="19"/>
      <c r="G292" s="48"/>
      <c r="H292" s="48">
        <f t="shared" si="88"/>
        <v>0</v>
      </c>
      <c r="I292" s="48">
        <f t="shared" si="89"/>
        <v>0</v>
      </c>
      <c r="J292" s="49"/>
      <c r="K292" s="50">
        <f t="shared" si="90"/>
        <v>0</v>
      </c>
      <c r="L292" s="50"/>
      <c r="M292" s="48"/>
      <c r="N292" s="48">
        <f t="shared" si="91"/>
        <v>0</v>
      </c>
      <c r="O292" s="48">
        <f t="shared" si="92"/>
        <v>0</v>
      </c>
      <c r="P292" s="48">
        <f t="shared" si="93"/>
        <v>0</v>
      </c>
      <c r="Q292" s="48">
        <f t="shared" si="94"/>
        <v>0</v>
      </c>
      <c r="R292" s="41">
        <f t="shared" si="95"/>
        <v>0</v>
      </c>
    </row>
    <row r="293" spans="2:18" x14ac:dyDescent="0.2">
      <c r="B293" s="61">
        <f>IF(F293&lt;&gt;"",1+MAX($B$21:B292),"")</f>
        <v>164</v>
      </c>
      <c r="C293" s="196"/>
      <c r="D293" s="73" t="s">
        <v>385</v>
      </c>
      <c r="E293" s="14" t="s">
        <v>72</v>
      </c>
      <c r="F293" s="19">
        <v>262.06</v>
      </c>
      <c r="G293" s="12">
        <v>1.26</v>
      </c>
      <c r="H293" s="12">
        <f t="shared" si="88"/>
        <v>1.1995199999999999</v>
      </c>
      <c r="I293" s="12">
        <f t="shared" si="89"/>
        <v>314.34621119999997</v>
      </c>
      <c r="J293" s="11">
        <v>1.7000000000000001E-2</v>
      </c>
      <c r="K293" s="7">
        <f t="shared" si="90"/>
        <v>4.4550200000000002</v>
      </c>
      <c r="L293" s="28" t="s">
        <v>1062</v>
      </c>
      <c r="M293" s="29">
        <v>46.2</v>
      </c>
      <c r="N293" s="48">
        <f t="shared" si="91"/>
        <v>33.772199999999998</v>
      </c>
      <c r="O293" s="48">
        <f t="shared" si="92"/>
        <v>0.57412739999999995</v>
      </c>
      <c r="P293" s="48">
        <f t="shared" si="93"/>
        <v>150.455826444</v>
      </c>
      <c r="Q293" s="48">
        <f t="shared" si="94"/>
        <v>464.80203764399994</v>
      </c>
      <c r="R293" s="41">
        <f t="shared" si="95"/>
        <v>653.65351365526794</v>
      </c>
    </row>
    <row r="294" spans="2:18" x14ac:dyDescent="0.2">
      <c r="B294" s="61" t="str">
        <f>IF(F294&lt;&gt;"",1+MAX($B$21:B293),"")</f>
        <v/>
      </c>
      <c r="C294" s="196"/>
      <c r="D294" s="73"/>
      <c r="E294" s="14"/>
      <c r="F294" s="19"/>
      <c r="G294" s="48"/>
      <c r="H294" s="48">
        <f t="shared" si="88"/>
        <v>0</v>
      </c>
      <c r="I294" s="48">
        <f t="shared" si="89"/>
        <v>0</v>
      </c>
      <c r="J294" s="49"/>
      <c r="K294" s="50">
        <f t="shared" si="90"/>
        <v>0</v>
      </c>
      <c r="L294" s="50"/>
      <c r="M294" s="48"/>
      <c r="N294" s="48">
        <f t="shared" si="91"/>
        <v>0</v>
      </c>
      <c r="O294" s="48">
        <f t="shared" si="92"/>
        <v>0</v>
      </c>
      <c r="P294" s="48">
        <f t="shared" si="93"/>
        <v>0</v>
      </c>
      <c r="Q294" s="48">
        <f t="shared" si="94"/>
        <v>0</v>
      </c>
      <c r="R294" s="41">
        <f t="shared" si="95"/>
        <v>0</v>
      </c>
    </row>
    <row r="295" spans="2:18" x14ac:dyDescent="0.2">
      <c r="B295" s="61" t="str">
        <f>IF(F295&lt;&gt;"",1+MAX($B$21:B294),"")</f>
        <v/>
      </c>
      <c r="C295" s="196"/>
      <c r="D295" s="75" t="s">
        <v>410</v>
      </c>
      <c r="E295" s="14"/>
      <c r="F295" s="19"/>
      <c r="G295" s="48"/>
      <c r="H295" s="48">
        <f t="shared" si="88"/>
        <v>0</v>
      </c>
      <c r="I295" s="48">
        <f t="shared" si="89"/>
        <v>0</v>
      </c>
      <c r="J295" s="49"/>
      <c r="K295" s="50">
        <f t="shared" si="90"/>
        <v>0</v>
      </c>
      <c r="L295" s="50"/>
      <c r="M295" s="48"/>
      <c r="N295" s="48">
        <f t="shared" si="91"/>
        <v>0</v>
      </c>
      <c r="O295" s="48">
        <f t="shared" si="92"/>
        <v>0</v>
      </c>
      <c r="P295" s="48">
        <f t="shared" si="93"/>
        <v>0</v>
      </c>
      <c r="Q295" s="48">
        <f t="shared" si="94"/>
        <v>0</v>
      </c>
      <c r="R295" s="41">
        <f t="shared" si="95"/>
        <v>0</v>
      </c>
    </row>
    <row r="296" spans="2:18" x14ac:dyDescent="0.2">
      <c r="B296" s="61">
        <f>IF(F296&lt;&gt;"",1+MAX($B$21:B295),"")</f>
        <v>165</v>
      </c>
      <c r="C296" s="196"/>
      <c r="D296" s="73" t="s">
        <v>508</v>
      </c>
      <c r="E296" s="14" t="s">
        <v>72</v>
      </c>
      <c r="F296" s="19">
        <f>1864.28+285</f>
        <v>2149.2799999999997</v>
      </c>
      <c r="G296" s="12">
        <v>0.19</v>
      </c>
      <c r="H296" s="12">
        <f t="shared" si="88"/>
        <v>0.18087999999999999</v>
      </c>
      <c r="I296" s="12">
        <f t="shared" si="89"/>
        <v>388.76176639999994</v>
      </c>
      <c r="J296" s="11">
        <v>0.01</v>
      </c>
      <c r="K296" s="7">
        <f t="shared" si="90"/>
        <v>21.492799999999999</v>
      </c>
      <c r="L296" s="28" t="s">
        <v>1052</v>
      </c>
      <c r="M296" s="29">
        <v>53.15</v>
      </c>
      <c r="N296" s="48">
        <f t="shared" si="91"/>
        <v>38.852649999999997</v>
      </c>
      <c r="O296" s="48">
        <f t="shared" si="92"/>
        <v>0.3885265</v>
      </c>
      <c r="P296" s="48">
        <f t="shared" si="93"/>
        <v>835.05223591999993</v>
      </c>
      <c r="Q296" s="48">
        <f t="shared" si="94"/>
        <v>1223.8140023199999</v>
      </c>
      <c r="R296" s="41">
        <f t="shared" si="95"/>
        <v>1734.4864712587998</v>
      </c>
    </row>
    <row r="297" spans="2:18" x14ac:dyDescent="0.2">
      <c r="B297" s="61">
        <f>IF(F297&lt;&gt;"",1+MAX($B$21:B296),"")</f>
        <v>166</v>
      </c>
      <c r="C297" s="196"/>
      <c r="D297" s="73" t="s">
        <v>411</v>
      </c>
      <c r="E297" s="14" t="s">
        <v>72</v>
      </c>
      <c r="F297" s="19">
        <f>40*1</f>
        <v>40</v>
      </c>
      <c r="G297" s="12">
        <v>0.33</v>
      </c>
      <c r="H297" s="12">
        <f t="shared" si="88"/>
        <v>0.31415999999999999</v>
      </c>
      <c r="I297" s="12">
        <f t="shared" si="89"/>
        <v>12.5664</v>
      </c>
      <c r="J297" s="11">
        <v>1.2E-2</v>
      </c>
      <c r="K297" s="7">
        <f t="shared" si="90"/>
        <v>0.48</v>
      </c>
      <c r="L297" s="28" t="s">
        <v>1052</v>
      </c>
      <c r="M297" s="29">
        <v>53.15</v>
      </c>
      <c r="N297" s="48">
        <f t="shared" si="91"/>
        <v>38.852649999999997</v>
      </c>
      <c r="O297" s="48">
        <f t="shared" si="92"/>
        <v>0.46623179999999997</v>
      </c>
      <c r="P297" s="48">
        <f t="shared" si="93"/>
        <v>18.649272</v>
      </c>
      <c r="Q297" s="48">
        <f t="shared" si="94"/>
        <v>31.215671999999998</v>
      </c>
      <c r="R297" s="41">
        <f t="shared" si="95"/>
        <v>44.160232103999995</v>
      </c>
    </row>
    <row r="298" spans="2:18" x14ac:dyDescent="0.2">
      <c r="B298" s="61" t="str">
        <f>IF(F298&lt;&gt;"",1+MAX($B$21:B297),"")</f>
        <v/>
      </c>
      <c r="C298" s="196"/>
      <c r="D298" s="73"/>
      <c r="E298" s="14"/>
      <c r="F298" s="19"/>
      <c r="G298" s="48"/>
      <c r="H298" s="48">
        <f t="shared" si="88"/>
        <v>0</v>
      </c>
      <c r="I298" s="48">
        <f t="shared" si="89"/>
        <v>0</v>
      </c>
      <c r="J298" s="49"/>
      <c r="K298" s="50">
        <f t="shared" si="90"/>
        <v>0</v>
      </c>
      <c r="L298" s="50"/>
      <c r="M298" s="48"/>
      <c r="N298" s="48">
        <f t="shared" si="91"/>
        <v>0</v>
      </c>
      <c r="O298" s="48">
        <f t="shared" si="92"/>
        <v>0</v>
      </c>
      <c r="P298" s="48">
        <f t="shared" si="93"/>
        <v>0</v>
      </c>
      <c r="Q298" s="48">
        <f t="shared" si="94"/>
        <v>0</v>
      </c>
      <c r="R298" s="41">
        <f t="shared" si="95"/>
        <v>0</v>
      </c>
    </row>
    <row r="299" spans="2:18" x14ac:dyDescent="0.2">
      <c r="B299" s="61" t="str">
        <f>IF(F299&lt;&gt;"",1+MAX($B$21:B298),"")</f>
        <v/>
      </c>
      <c r="C299" s="196"/>
      <c r="D299" s="75" t="s">
        <v>384</v>
      </c>
      <c r="E299" s="14"/>
      <c r="F299" s="19"/>
      <c r="G299" s="48"/>
      <c r="H299" s="48">
        <f t="shared" si="88"/>
        <v>0</v>
      </c>
      <c r="I299" s="48">
        <f t="shared" si="89"/>
        <v>0</v>
      </c>
      <c r="J299" s="49"/>
      <c r="K299" s="50">
        <f t="shared" si="90"/>
        <v>0</v>
      </c>
      <c r="L299" s="50"/>
      <c r="M299" s="48"/>
      <c r="N299" s="48">
        <f t="shared" si="91"/>
        <v>0</v>
      </c>
      <c r="O299" s="48">
        <f t="shared" si="92"/>
        <v>0</v>
      </c>
      <c r="P299" s="48">
        <f t="shared" si="93"/>
        <v>0</v>
      </c>
      <c r="Q299" s="48">
        <f t="shared" si="94"/>
        <v>0</v>
      </c>
      <c r="R299" s="41">
        <f t="shared" si="95"/>
        <v>0</v>
      </c>
    </row>
    <row r="300" spans="2:18" x14ac:dyDescent="0.2">
      <c r="B300" s="61">
        <f>IF(F300&lt;&gt;"",1+MAX($B$21:B299),"")</f>
        <v>167</v>
      </c>
      <c r="C300" s="196"/>
      <c r="D300" s="73" t="s">
        <v>386</v>
      </c>
      <c r="E300" s="14" t="s">
        <v>72</v>
      </c>
      <c r="F300" s="19">
        <v>286.79000000000002</v>
      </c>
      <c r="G300" s="12">
        <v>8.9499999999999993</v>
      </c>
      <c r="H300" s="12">
        <f t="shared" si="88"/>
        <v>8.5203999999999986</v>
      </c>
      <c r="I300" s="12">
        <f t="shared" si="89"/>
        <v>2443.5655159999997</v>
      </c>
      <c r="J300" s="208">
        <v>0.02</v>
      </c>
      <c r="K300" s="7">
        <f t="shared" si="90"/>
        <v>5.7358000000000002</v>
      </c>
      <c r="L300" s="28" t="s">
        <v>1055</v>
      </c>
      <c r="M300" s="29">
        <v>46.2</v>
      </c>
      <c r="N300" s="48">
        <f t="shared" si="91"/>
        <v>33.772199999999998</v>
      </c>
      <c r="O300" s="48">
        <f t="shared" si="92"/>
        <v>0.67544399999999993</v>
      </c>
      <c r="P300" s="48">
        <f t="shared" si="93"/>
        <v>193.71058475999999</v>
      </c>
      <c r="Q300" s="48">
        <f t="shared" si="94"/>
        <v>2637.2761007599997</v>
      </c>
      <c r="R300" s="41">
        <f t="shared" si="95"/>
        <v>3688.6198909949203</v>
      </c>
    </row>
    <row r="301" spans="2:18" x14ac:dyDescent="0.2">
      <c r="B301" s="61" t="str">
        <f>IF(F301&lt;&gt;"",1+MAX($B$21:B300),"")</f>
        <v/>
      </c>
      <c r="C301" s="196"/>
      <c r="D301" s="73"/>
      <c r="E301" s="14"/>
      <c r="F301" s="19"/>
      <c r="G301" s="48"/>
      <c r="H301" s="48">
        <f t="shared" si="88"/>
        <v>0</v>
      </c>
      <c r="I301" s="48">
        <f t="shared" si="89"/>
        <v>0</v>
      </c>
      <c r="J301" s="49"/>
      <c r="K301" s="50">
        <f t="shared" si="90"/>
        <v>0</v>
      </c>
      <c r="L301" s="50"/>
      <c r="M301" s="48"/>
      <c r="N301" s="48">
        <f t="shared" si="91"/>
        <v>0</v>
      </c>
      <c r="O301" s="48">
        <f t="shared" si="92"/>
        <v>0</v>
      </c>
      <c r="P301" s="48">
        <f t="shared" si="93"/>
        <v>0</v>
      </c>
      <c r="Q301" s="48">
        <f t="shared" si="94"/>
        <v>0</v>
      </c>
      <c r="R301" s="41">
        <f t="shared" si="95"/>
        <v>0</v>
      </c>
    </row>
    <row r="302" spans="2:18" x14ac:dyDescent="0.2">
      <c r="B302" s="61" t="str">
        <f>IF(F302&lt;&gt;"",1+MAX($B$21:B301),"")</f>
        <v/>
      </c>
      <c r="C302" s="196"/>
      <c r="D302" s="75" t="s">
        <v>401</v>
      </c>
      <c r="E302" s="14"/>
      <c r="F302" s="19"/>
      <c r="G302" s="48"/>
      <c r="H302" s="48">
        <f t="shared" si="88"/>
        <v>0</v>
      </c>
      <c r="I302" s="48">
        <f t="shared" si="89"/>
        <v>0</v>
      </c>
      <c r="J302" s="49"/>
      <c r="K302" s="50">
        <f t="shared" si="90"/>
        <v>0</v>
      </c>
      <c r="L302" s="50"/>
      <c r="M302" s="48"/>
      <c r="N302" s="48">
        <f t="shared" si="91"/>
        <v>0</v>
      </c>
      <c r="O302" s="48">
        <f t="shared" si="92"/>
        <v>0</v>
      </c>
      <c r="P302" s="48">
        <f t="shared" si="93"/>
        <v>0</v>
      </c>
      <c r="Q302" s="48">
        <f t="shared" si="94"/>
        <v>0</v>
      </c>
      <c r="R302" s="41">
        <f t="shared" si="95"/>
        <v>0</v>
      </c>
    </row>
    <row r="303" spans="2:18" ht="25.5" x14ac:dyDescent="0.2">
      <c r="B303" s="61">
        <f>IF(F303&lt;&gt;"",1+MAX($B$21:B302),"")</f>
        <v>168</v>
      </c>
      <c r="C303" s="196"/>
      <c r="D303" s="73" t="s">
        <v>408</v>
      </c>
      <c r="E303" s="14" t="s">
        <v>74</v>
      </c>
      <c r="F303" s="19">
        <v>15</v>
      </c>
      <c r="G303" s="12">
        <v>1.53</v>
      </c>
      <c r="H303" s="12">
        <f t="shared" si="88"/>
        <v>1.4565599999999999</v>
      </c>
      <c r="I303" s="12">
        <f t="shared" si="89"/>
        <v>21.848399999999998</v>
      </c>
      <c r="J303" s="11">
        <v>3.2000000000000001E-2</v>
      </c>
      <c r="K303" s="7">
        <f t="shared" si="90"/>
        <v>0.48</v>
      </c>
      <c r="L303" s="28" t="s">
        <v>1064</v>
      </c>
      <c r="M303" s="29">
        <v>46.9</v>
      </c>
      <c r="N303" s="48">
        <f t="shared" si="91"/>
        <v>34.283899999999996</v>
      </c>
      <c r="O303" s="48">
        <f t="shared" si="92"/>
        <v>1.0970848</v>
      </c>
      <c r="P303" s="48">
        <f t="shared" si="93"/>
        <v>16.456271999999998</v>
      </c>
      <c r="Q303" s="48">
        <f t="shared" si="94"/>
        <v>38.304671999999997</v>
      </c>
      <c r="R303" s="41">
        <f t="shared" si="95"/>
        <v>53.992205903999995</v>
      </c>
    </row>
    <row r="304" spans="2:18" x14ac:dyDescent="0.2">
      <c r="B304" s="61">
        <f>IF(F304&lt;&gt;"",1+MAX($B$21:B303),"")</f>
        <v>169</v>
      </c>
      <c r="C304" s="196"/>
      <c r="D304" s="73" t="s">
        <v>407</v>
      </c>
      <c r="E304" s="14" t="s">
        <v>74</v>
      </c>
      <c r="F304" s="19">
        <v>148</v>
      </c>
      <c r="G304" s="12">
        <v>8.5</v>
      </c>
      <c r="H304" s="12">
        <f t="shared" si="88"/>
        <v>8.0919999999999987</v>
      </c>
      <c r="I304" s="12">
        <f t="shared" si="89"/>
        <v>1197.6159999999998</v>
      </c>
      <c r="J304" s="11">
        <v>0.17799999999999999</v>
      </c>
      <c r="K304" s="7">
        <f t="shared" si="90"/>
        <v>26.343999999999998</v>
      </c>
      <c r="L304" s="28" t="s">
        <v>1064</v>
      </c>
      <c r="M304" s="29">
        <v>46.9</v>
      </c>
      <c r="N304" s="48">
        <f t="shared" si="91"/>
        <v>34.283899999999996</v>
      </c>
      <c r="O304" s="48">
        <f t="shared" si="92"/>
        <v>6.1025341999999991</v>
      </c>
      <c r="P304" s="48">
        <f t="shared" si="93"/>
        <v>903.17506159999982</v>
      </c>
      <c r="Q304" s="48">
        <f t="shared" si="94"/>
        <v>2100.7910615999995</v>
      </c>
      <c r="R304" s="41">
        <f t="shared" si="95"/>
        <v>2961.1817953031991</v>
      </c>
    </row>
    <row r="305" spans="2:18" x14ac:dyDescent="0.2">
      <c r="B305" s="61">
        <f>IF(F305&lt;&gt;"",1+MAX($B$21:B304),"")</f>
        <v>170</v>
      </c>
      <c r="C305" s="196"/>
      <c r="D305" s="73" t="s">
        <v>406</v>
      </c>
      <c r="E305" s="14" t="s">
        <v>74</v>
      </c>
      <c r="F305" s="19">
        <v>40</v>
      </c>
      <c r="G305" s="12">
        <v>1.38</v>
      </c>
      <c r="H305" s="12">
        <f t="shared" si="88"/>
        <v>1.3137599999999998</v>
      </c>
      <c r="I305" s="12">
        <f t="shared" ref="I305" si="98">F305*H305</f>
        <v>52.550399999999996</v>
      </c>
      <c r="J305" s="11">
        <v>2.9000000000000001E-2</v>
      </c>
      <c r="K305" s="7">
        <f t="shared" ref="K305" si="99">F305*J305</f>
        <v>1.1600000000000001</v>
      </c>
      <c r="L305" s="28" t="s">
        <v>1064</v>
      </c>
      <c r="M305" s="29">
        <v>46.9</v>
      </c>
      <c r="N305" s="48">
        <f t="shared" si="91"/>
        <v>34.283899999999996</v>
      </c>
      <c r="O305" s="48">
        <f t="shared" si="92"/>
        <v>0.99423309999999987</v>
      </c>
      <c r="P305" s="48">
        <f t="shared" si="93"/>
        <v>39.769323999999997</v>
      </c>
      <c r="Q305" s="48">
        <f t="shared" si="94"/>
        <v>92.319723999999994</v>
      </c>
      <c r="R305" s="41">
        <f t="shared" si="95"/>
        <v>130.13220390799998</v>
      </c>
    </row>
    <row r="306" spans="2:18" x14ac:dyDescent="0.2">
      <c r="B306" s="61" t="str">
        <f>IF(F306&lt;&gt;"",1+MAX($B$21:B305),"")</f>
        <v/>
      </c>
      <c r="C306" s="196"/>
      <c r="D306" s="73"/>
      <c r="E306" s="14"/>
      <c r="F306" s="19"/>
      <c r="G306" s="48"/>
      <c r="H306" s="48">
        <f t="shared" si="88"/>
        <v>0</v>
      </c>
      <c r="I306" s="48">
        <f t="shared" si="89"/>
        <v>0</v>
      </c>
      <c r="J306" s="49"/>
      <c r="K306" s="50">
        <f t="shared" si="90"/>
        <v>0</v>
      </c>
      <c r="L306" s="50"/>
      <c r="M306" s="48"/>
      <c r="N306" s="48">
        <f t="shared" si="91"/>
        <v>0</v>
      </c>
      <c r="O306" s="48">
        <f t="shared" si="92"/>
        <v>0</v>
      </c>
      <c r="P306" s="48">
        <f t="shared" si="93"/>
        <v>0</v>
      </c>
      <c r="Q306" s="48">
        <f t="shared" si="94"/>
        <v>0</v>
      </c>
      <c r="R306" s="41">
        <f t="shared" si="95"/>
        <v>0</v>
      </c>
    </row>
    <row r="307" spans="2:18" x14ac:dyDescent="0.2">
      <c r="B307" s="61" t="str">
        <f>IF(F307&lt;&gt;"",1+MAX($B$21:B306),"")</f>
        <v/>
      </c>
      <c r="C307" s="196"/>
      <c r="D307" s="75" t="s">
        <v>129</v>
      </c>
      <c r="E307" s="14"/>
      <c r="F307" s="19"/>
      <c r="G307" s="48"/>
      <c r="H307" s="48">
        <f t="shared" si="88"/>
        <v>0</v>
      </c>
      <c r="I307" s="48">
        <f t="shared" si="89"/>
        <v>0</v>
      </c>
      <c r="J307" s="49"/>
      <c r="K307" s="50">
        <f t="shared" si="90"/>
        <v>0</v>
      </c>
      <c r="L307" s="50"/>
      <c r="M307" s="48"/>
      <c r="N307" s="48">
        <f t="shared" si="91"/>
        <v>0</v>
      </c>
      <c r="O307" s="48">
        <f t="shared" si="92"/>
        <v>0</v>
      </c>
      <c r="P307" s="48">
        <f t="shared" si="93"/>
        <v>0</v>
      </c>
      <c r="Q307" s="48">
        <f t="shared" si="94"/>
        <v>0</v>
      </c>
      <c r="R307" s="41">
        <f t="shared" si="95"/>
        <v>0</v>
      </c>
    </row>
    <row r="308" spans="2:18" ht="38.25" x14ac:dyDescent="0.2">
      <c r="B308" s="61">
        <f>IF(F308&lt;&gt;"",1+MAX($B$21:B307),"")</f>
        <v>171</v>
      </c>
      <c r="C308" s="196"/>
      <c r="D308" s="73" t="s">
        <v>584</v>
      </c>
      <c r="E308" s="14" t="s">
        <v>74</v>
      </c>
      <c r="F308" s="19">
        <v>40</v>
      </c>
      <c r="G308" s="12">
        <v>8.6999999999999993</v>
      </c>
      <c r="H308" s="12">
        <f t="shared" si="88"/>
        <v>8.2823999999999991</v>
      </c>
      <c r="I308" s="12">
        <f t="shared" si="89"/>
        <v>331.29599999999994</v>
      </c>
      <c r="J308" s="208">
        <v>0.13100000000000001</v>
      </c>
      <c r="K308" s="7">
        <f t="shared" si="90"/>
        <v>5.24</v>
      </c>
      <c r="L308" s="28" t="s">
        <v>1062</v>
      </c>
      <c r="M308" s="29">
        <v>46.2</v>
      </c>
      <c r="N308" s="48">
        <f t="shared" si="91"/>
        <v>33.772199999999998</v>
      </c>
      <c r="O308" s="48">
        <f t="shared" si="92"/>
        <v>4.4241581999999999</v>
      </c>
      <c r="P308" s="48">
        <f t="shared" si="93"/>
        <v>176.966328</v>
      </c>
      <c r="Q308" s="48">
        <f t="shared" si="94"/>
        <v>508.26232799999991</v>
      </c>
      <c r="R308" s="41">
        <f t="shared" si="95"/>
        <v>715.15268445599986</v>
      </c>
    </row>
    <row r="309" spans="2:18" ht="25.5" x14ac:dyDescent="0.2">
      <c r="B309" s="61">
        <f>IF(F309&lt;&gt;"",1+MAX($B$21:B308),"")</f>
        <v>172</v>
      </c>
      <c r="C309" s="196"/>
      <c r="D309" s="73" t="s">
        <v>412</v>
      </c>
      <c r="E309" s="14" t="s">
        <v>74</v>
      </c>
      <c r="F309" s="19">
        <f>2.5+2.5+3+3</f>
        <v>11</v>
      </c>
      <c r="G309" s="12">
        <v>7.65</v>
      </c>
      <c r="H309" s="12">
        <f t="shared" si="88"/>
        <v>7.2827999999999999</v>
      </c>
      <c r="I309" s="12">
        <f t="shared" si="89"/>
        <v>80.110799999999998</v>
      </c>
      <c r="J309" s="11">
        <v>0.113</v>
      </c>
      <c r="K309" s="7">
        <f t="shared" si="90"/>
        <v>1.2430000000000001</v>
      </c>
      <c r="L309" s="28" t="s">
        <v>1062</v>
      </c>
      <c r="M309" s="29">
        <v>46.2</v>
      </c>
      <c r="N309" s="48">
        <f t="shared" si="91"/>
        <v>33.772199999999998</v>
      </c>
      <c r="O309" s="48">
        <f t="shared" si="92"/>
        <v>3.8162585999999998</v>
      </c>
      <c r="P309" s="48">
        <f t="shared" si="93"/>
        <v>41.978844599999995</v>
      </c>
      <c r="Q309" s="48">
        <f t="shared" si="94"/>
        <v>122.08964459999999</v>
      </c>
      <c r="R309" s="41">
        <f t="shared" si="95"/>
        <v>171.77053236419997</v>
      </c>
    </row>
    <row r="310" spans="2:18" x14ac:dyDescent="0.2">
      <c r="B310" s="61" t="str">
        <f>IF(F310&lt;&gt;"",1+MAX($B$21:B309),"")</f>
        <v/>
      </c>
      <c r="C310" s="196"/>
      <c r="D310" s="73"/>
      <c r="E310" s="14"/>
      <c r="F310" s="19"/>
      <c r="G310" s="48"/>
      <c r="H310" s="48">
        <f t="shared" si="88"/>
        <v>0</v>
      </c>
      <c r="I310" s="48">
        <f t="shared" si="89"/>
        <v>0</v>
      </c>
      <c r="J310" s="49"/>
      <c r="K310" s="50">
        <f t="shared" si="90"/>
        <v>0</v>
      </c>
      <c r="L310" s="50"/>
      <c r="M310" s="48"/>
      <c r="N310" s="48">
        <f t="shared" si="91"/>
        <v>0</v>
      </c>
      <c r="O310" s="48">
        <f t="shared" si="92"/>
        <v>0</v>
      </c>
      <c r="P310" s="48">
        <f t="shared" si="93"/>
        <v>0</v>
      </c>
      <c r="Q310" s="48">
        <f t="shared" si="94"/>
        <v>0</v>
      </c>
      <c r="R310" s="41">
        <f t="shared" si="95"/>
        <v>0</v>
      </c>
    </row>
    <row r="311" spans="2:18" x14ac:dyDescent="0.2">
      <c r="B311" s="61" t="str">
        <f>IF(F311&lt;&gt;"",1+MAX($B$21:B310),"")</f>
        <v/>
      </c>
      <c r="C311" s="196"/>
      <c r="D311" s="75" t="s">
        <v>387</v>
      </c>
      <c r="E311" s="14"/>
      <c r="F311" s="19"/>
      <c r="G311" s="48"/>
      <c r="H311" s="48">
        <f t="shared" si="88"/>
        <v>0</v>
      </c>
      <c r="I311" s="48">
        <f t="shared" si="89"/>
        <v>0</v>
      </c>
      <c r="J311" s="49"/>
      <c r="K311" s="50">
        <f t="shared" si="90"/>
        <v>0</v>
      </c>
      <c r="L311" s="50"/>
      <c r="M311" s="48"/>
      <c r="N311" s="48">
        <f t="shared" si="91"/>
        <v>0</v>
      </c>
      <c r="O311" s="48">
        <f t="shared" si="92"/>
        <v>0</v>
      </c>
      <c r="P311" s="48">
        <f t="shared" si="93"/>
        <v>0</v>
      </c>
      <c r="Q311" s="48">
        <f t="shared" si="94"/>
        <v>0</v>
      </c>
      <c r="R311" s="41">
        <f t="shared" si="95"/>
        <v>0</v>
      </c>
    </row>
    <row r="312" spans="2:18" x14ac:dyDescent="0.2">
      <c r="B312" s="61">
        <f>IF(F312&lt;&gt;"",1+MAX($B$21:B311),"")</f>
        <v>173</v>
      </c>
      <c r="C312" s="196"/>
      <c r="D312" s="73" t="s">
        <v>388</v>
      </c>
      <c r="E312" s="14" t="s">
        <v>79</v>
      </c>
      <c r="F312" s="19">
        <v>11</v>
      </c>
      <c r="G312" s="12">
        <v>1.45</v>
      </c>
      <c r="H312" s="12">
        <f t="shared" si="88"/>
        <v>1.3803999999999998</v>
      </c>
      <c r="I312" s="12">
        <f t="shared" si="89"/>
        <v>15.184399999999998</v>
      </c>
      <c r="J312" s="11">
        <v>6.0999999999999999E-2</v>
      </c>
      <c r="K312" s="7">
        <f t="shared" si="90"/>
        <v>0.67100000000000004</v>
      </c>
      <c r="L312" s="28" t="s">
        <v>1062</v>
      </c>
      <c r="M312" s="29">
        <v>46.2</v>
      </c>
      <c r="N312" s="48">
        <f t="shared" si="91"/>
        <v>33.772199999999998</v>
      </c>
      <c r="O312" s="48">
        <f t="shared" si="92"/>
        <v>2.0601042000000001</v>
      </c>
      <c r="P312" s="48">
        <f t="shared" si="93"/>
        <v>22.661146200000001</v>
      </c>
      <c r="Q312" s="48">
        <f t="shared" si="94"/>
        <v>37.845546200000001</v>
      </c>
      <c r="R312" s="41">
        <f t="shared" si="95"/>
        <v>53.540951787400004</v>
      </c>
    </row>
    <row r="313" spans="2:18" x14ac:dyDescent="0.2">
      <c r="B313" s="61">
        <f>IF(F313&lt;&gt;"",1+MAX($B$21:B312),"")</f>
        <v>174</v>
      </c>
      <c r="C313" s="196"/>
      <c r="D313" s="73" t="s">
        <v>389</v>
      </c>
      <c r="E313" s="14" t="s">
        <v>79</v>
      </c>
      <c r="F313" s="19">
        <v>3</v>
      </c>
      <c r="G313" s="12">
        <v>1.45</v>
      </c>
      <c r="H313" s="12">
        <f t="shared" si="88"/>
        <v>1.3803999999999998</v>
      </c>
      <c r="I313" s="12">
        <f t="shared" si="89"/>
        <v>4.1411999999999995</v>
      </c>
      <c r="J313" s="11">
        <v>6.0999999999999999E-2</v>
      </c>
      <c r="K313" s="7">
        <f t="shared" si="90"/>
        <v>0.183</v>
      </c>
      <c r="L313" s="28" t="s">
        <v>1062</v>
      </c>
      <c r="M313" s="29">
        <v>46.2</v>
      </c>
      <c r="N313" s="48">
        <f t="shared" si="91"/>
        <v>33.772199999999998</v>
      </c>
      <c r="O313" s="48">
        <f t="shared" si="92"/>
        <v>2.0601042000000001</v>
      </c>
      <c r="P313" s="48">
        <f t="shared" si="93"/>
        <v>6.1803126000000006</v>
      </c>
      <c r="Q313" s="48">
        <f t="shared" si="94"/>
        <v>10.3215126</v>
      </c>
      <c r="R313" s="41">
        <f t="shared" si="95"/>
        <v>14.6020777602</v>
      </c>
    </row>
    <row r="314" spans="2:18" x14ac:dyDescent="0.2">
      <c r="B314" s="61">
        <f>IF(F314&lt;&gt;"",1+MAX($B$21:B313),"")</f>
        <v>175</v>
      </c>
      <c r="C314" s="196"/>
      <c r="D314" s="73" t="s">
        <v>399</v>
      </c>
      <c r="E314" s="14" t="s">
        <v>74</v>
      </c>
      <c r="F314" s="19">
        <v>120</v>
      </c>
      <c r="G314" s="12">
        <v>2.1800000000000002</v>
      </c>
      <c r="H314" s="12">
        <f t="shared" si="88"/>
        <v>2.0753599999999999</v>
      </c>
      <c r="I314" s="12">
        <f t="shared" si="89"/>
        <v>249.04319999999998</v>
      </c>
      <c r="J314" s="11">
        <v>6.0999999999999999E-2</v>
      </c>
      <c r="K314" s="7">
        <f t="shared" si="90"/>
        <v>7.32</v>
      </c>
      <c r="L314" s="28" t="s">
        <v>1062</v>
      </c>
      <c r="M314" s="29">
        <v>46.2</v>
      </c>
      <c r="N314" s="48">
        <f t="shared" si="91"/>
        <v>33.772199999999998</v>
      </c>
      <c r="O314" s="48">
        <f t="shared" si="92"/>
        <v>2.0601042000000001</v>
      </c>
      <c r="P314" s="48">
        <f t="shared" si="93"/>
        <v>247.212504</v>
      </c>
      <c r="Q314" s="48">
        <f t="shared" si="94"/>
        <v>496.25570399999998</v>
      </c>
      <c r="R314" s="41">
        <f t="shared" si="95"/>
        <v>700.53616768800009</v>
      </c>
    </row>
    <row r="315" spans="2:18" x14ac:dyDescent="0.2">
      <c r="B315" s="61">
        <f>IF(F315&lt;&gt;"",1+MAX($B$21:B314),"")</f>
        <v>176</v>
      </c>
      <c r="C315" s="196"/>
      <c r="D315" s="73" t="s">
        <v>400</v>
      </c>
      <c r="E315" s="14" t="s">
        <v>74</v>
      </c>
      <c r="F315" s="19">
        <v>120</v>
      </c>
      <c r="G315" s="12">
        <v>1.45</v>
      </c>
      <c r="H315" s="12">
        <f t="shared" si="88"/>
        <v>1.3803999999999998</v>
      </c>
      <c r="I315" s="12">
        <f t="shared" si="89"/>
        <v>165.64799999999997</v>
      </c>
      <c r="J315" s="11">
        <v>6.0999999999999999E-2</v>
      </c>
      <c r="K315" s="7">
        <f t="shared" si="90"/>
        <v>7.32</v>
      </c>
      <c r="L315" s="28" t="s">
        <v>1062</v>
      </c>
      <c r="M315" s="29">
        <v>46.2</v>
      </c>
      <c r="N315" s="48">
        <f t="shared" si="91"/>
        <v>33.772199999999998</v>
      </c>
      <c r="O315" s="48">
        <f t="shared" si="92"/>
        <v>2.0601042000000001</v>
      </c>
      <c r="P315" s="48">
        <f t="shared" si="93"/>
        <v>247.212504</v>
      </c>
      <c r="Q315" s="48">
        <f t="shared" si="94"/>
        <v>412.86050399999999</v>
      </c>
      <c r="R315" s="41">
        <f t="shared" si="95"/>
        <v>584.08311040800004</v>
      </c>
    </row>
    <row r="316" spans="2:18" x14ac:dyDescent="0.2">
      <c r="B316" s="61">
        <f>IF(F316&lt;&gt;"",1+MAX($B$21:B315),"")</f>
        <v>177</v>
      </c>
      <c r="C316" s="197"/>
      <c r="D316" s="73" t="s">
        <v>409</v>
      </c>
      <c r="E316" s="14" t="s">
        <v>74</v>
      </c>
      <c r="F316" s="19">
        <v>40</v>
      </c>
      <c r="G316" s="12">
        <v>2.02</v>
      </c>
      <c r="H316" s="12">
        <f t="shared" si="88"/>
        <v>1.9230399999999999</v>
      </c>
      <c r="I316" s="12">
        <f t="shared" si="89"/>
        <v>76.921599999999998</v>
      </c>
      <c r="J316" s="11">
        <v>6.0999999999999999E-2</v>
      </c>
      <c r="K316" s="7">
        <f t="shared" si="90"/>
        <v>2.44</v>
      </c>
      <c r="L316" s="28" t="s">
        <v>1062</v>
      </c>
      <c r="M316" s="29">
        <v>46.2</v>
      </c>
      <c r="N316" s="48">
        <f t="shared" si="91"/>
        <v>33.772199999999998</v>
      </c>
      <c r="O316" s="48">
        <f t="shared" si="92"/>
        <v>2.0601042000000001</v>
      </c>
      <c r="P316" s="48">
        <f t="shared" si="93"/>
        <v>82.404167999999999</v>
      </c>
      <c r="Q316" s="48">
        <f t="shared" si="94"/>
        <v>159.32576799999998</v>
      </c>
      <c r="R316" s="41">
        <f t="shared" si="95"/>
        <v>225.00406997599998</v>
      </c>
    </row>
    <row r="317" spans="2:18" x14ac:dyDescent="0.2">
      <c r="B317" s="61" t="str">
        <f>IF(F317&lt;&gt;"",1+MAX($B$21:B316),"")</f>
        <v/>
      </c>
      <c r="C317" s="67"/>
      <c r="D317" s="73"/>
      <c r="E317" s="14"/>
      <c r="F317" s="19"/>
      <c r="G317" s="48"/>
      <c r="H317" s="48">
        <f t="shared" si="88"/>
        <v>0</v>
      </c>
      <c r="I317" s="48">
        <f t="shared" si="89"/>
        <v>0</v>
      </c>
      <c r="J317" s="49"/>
      <c r="K317" s="50">
        <f t="shared" si="90"/>
        <v>0</v>
      </c>
      <c r="L317" s="50"/>
      <c r="M317" s="48"/>
      <c r="N317" s="48">
        <f t="shared" si="91"/>
        <v>0</v>
      </c>
      <c r="O317" s="48">
        <f t="shared" si="92"/>
        <v>0</v>
      </c>
      <c r="P317" s="48">
        <f t="shared" si="93"/>
        <v>0</v>
      </c>
      <c r="Q317" s="48">
        <f t="shared" si="94"/>
        <v>0</v>
      </c>
      <c r="R317" s="41">
        <f t="shared" si="95"/>
        <v>0</v>
      </c>
    </row>
    <row r="318" spans="2:18" x14ac:dyDescent="0.2">
      <c r="B318" s="62" t="str">
        <f>IF(F318&lt;&gt;"",1+MAX($B$21:B317),"")</f>
        <v/>
      </c>
      <c r="C318" s="68"/>
      <c r="D318" s="74" t="s">
        <v>417</v>
      </c>
      <c r="E318" s="14"/>
      <c r="F318" s="19"/>
      <c r="G318" s="48"/>
      <c r="H318" s="48">
        <f t="shared" si="88"/>
        <v>0</v>
      </c>
      <c r="I318" s="48">
        <f t="shared" si="89"/>
        <v>0</v>
      </c>
      <c r="J318" s="49"/>
      <c r="K318" s="50">
        <f t="shared" si="90"/>
        <v>0</v>
      </c>
      <c r="L318" s="50"/>
      <c r="M318" s="48"/>
      <c r="N318" s="48">
        <f t="shared" si="91"/>
        <v>0</v>
      </c>
      <c r="O318" s="48">
        <f t="shared" si="92"/>
        <v>0</v>
      </c>
      <c r="P318" s="48">
        <f t="shared" si="93"/>
        <v>0</v>
      </c>
      <c r="Q318" s="48">
        <f t="shared" si="94"/>
        <v>0</v>
      </c>
      <c r="R318" s="41">
        <f t="shared" si="95"/>
        <v>0</v>
      </c>
    </row>
    <row r="319" spans="2:18" x14ac:dyDescent="0.2">
      <c r="B319" s="61" t="str">
        <f>IF(F319&lt;&gt;"",1+MAX($B$21:B318),"")</f>
        <v/>
      </c>
      <c r="C319" s="66"/>
      <c r="D319" s="73"/>
      <c r="E319" s="14"/>
      <c r="F319" s="19"/>
      <c r="G319" s="48"/>
      <c r="H319" s="48">
        <f t="shared" si="88"/>
        <v>0</v>
      </c>
      <c r="I319" s="48">
        <f t="shared" si="89"/>
        <v>0</v>
      </c>
      <c r="J319" s="49"/>
      <c r="K319" s="50">
        <f t="shared" si="90"/>
        <v>0</v>
      </c>
      <c r="L319" s="50"/>
      <c r="M319" s="48"/>
      <c r="N319" s="48">
        <f t="shared" si="91"/>
        <v>0</v>
      </c>
      <c r="O319" s="48">
        <f t="shared" si="92"/>
        <v>0</v>
      </c>
      <c r="P319" s="48">
        <f t="shared" si="93"/>
        <v>0</v>
      </c>
      <c r="Q319" s="48">
        <f t="shared" si="94"/>
        <v>0</v>
      </c>
      <c r="R319" s="41">
        <f t="shared" si="95"/>
        <v>0</v>
      </c>
    </row>
    <row r="320" spans="2:18" x14ac:dyDescent="0.2">
      <c r="B320" s="61" t="str">
        <f>IF(F320&lt;&gt;"",1+MAX($B$21:B319),"")</f>
        <v/>
      </c>
      <c r="C320" s="198" t="s">
        <v>441</v>
      </c>
      <c r="D320" s="75" t="s">
        <v>435</v>
      </c>
      <c r="E320" s="14"/>
      <c r="F320" s="19"/>
      <c r="G320" s="48"/>
      <c r="H320" s="48">
        <f t="shared" si="88"/>
        <v>0</v>
      </c>
      <c r="I320" s="48">
        <f t="shared" si="89"/>
        <v>0</v>
      </c>
      <c r="J320" s="49"/>
      <c r="K320" s="50">
        <f t="shared" si="90"/>
        <v>0</v>
      </c>
      <c r="L320" s="50"/>
      <c r="M320" s="48"/>
      <c r="N320" s="48">
        <f t="shared" si="91"/>
        <v>0</v>
      </c>
      <c r="O320" s="48">
        <f t="shared" si="92"/>
        <v>0</v>
      </c>
      <c r="P320" s="48">
        <f t="shared" si="93"/>
        <v>0</v>
      </c>
      <c r="Q320" s="48">
        <f t="shared" si="94"/>
        <v>0</v>
      </c>
      <c r="R320" s="41">
        <f t="shared" si="95"/>
        <v>0</v>
      </c>
    </row>
    <row r="321" spans="2:18" ht="51" x14ac:dyDescent="0.2">
      <c r="B321" s="61">
        <f>IF(F321&lt;&gt;"",1+MAX($B$21:B320),"")</f>
        <v>178</v>
      </c>
      <c r="C321" s="196"/>
      <c r="D321" s="73" t="s">
        <v>431</v>
      </c>
      <c r="E321" s="14" t="s">
        <v>72</v>
      </c>
      <c r="F321" s="19">
        <v>1640</v>
      </c>
      <c r="G321" s="12">
        <v>3.89</v>
      </c>
      <c r="H321" s="12">
        <f t="shared" si="88"/>
        <v>3.7032799999999999</v>
      </c>
      <c r="I321" s="12">
        <f t="shared" si="89"/>
        <v>6073.3791999999994</v>
      </c>
      <c r="J321" s="11">
        <v>0.14899999999999999</v>
      </c>
      <c r="K321" s="7">
        <f t="shared" si="90"/>
        <v>244.35999999999999</v>
      </c>
      <c r="L321" s="28" t="s">
        <v>1065</v>
      </c>
      <c r="M321" s="29">
        <v>49.05</v>
      </c>
      <c r="N321" s="48">
        <f t="shared" si="91"/>
        <v>35.855549999999994</v>
      </c>
      <c r="O321" s="48">
        <f t="shared" si="92"/>
        <v>5.3424769499999991</v>
      </c>
      <c r="P321" s="48">
        <f t="shared" si="93"/>
        <v>8761.6621979999982</v>
      </c>
      <c r="Q321" s="48">
        <f t="shared" si="94"/>
        <v>14835.041397999998</v>
      </c>
      <c r="R321" s="41">
        <f t="shared" si="95"/>
        <v>20983.758671425996</v>
      </c>
    </row>
    <row r="322" spans="2:18" ht="51" x14ac:dyDescent="0.2">
      <c r="B322" s="61">
        <f>IF(F322&lt;&gt;"",1+MAX($B$21:B321),"")</f>
        <v>179</v>
      </c>
      <c r="C322" s="196"/>
      <c r="D322" s="73" t="s">
        <v>432</v>
      </c>
      <c r="E322" s="14" t="s">
        <v>72</v>
      </c>
      <c r="F322" s="19">
        <v>275</v>
      </c>
      <c r="G322" s="48">
        <v>8.3099999999999987</v>
      </c>
      <c r="H322" s="48">
        <f t="shared" si="88"/>
        <v>7.9111199999999986</v>
      </c>
      <c r="I322" s="48">
        <f t="shared" si="89"/>
        <v>2175.5579999999995</v>
      </c>
      <c r="J322" s="49">
        <v>0.14899999999999999</v>
      </c>
      <c r="K322" s="50">
        <f t="shared" si="90"/>
        <v>40.975000000000001</v>
      </c>
      <c r="L322" s="28" t="s">
        <v>1065</v>
      </c>
      <c r="M322" s="29">
        <v>49.05</v>
      </c>
      <c r="N322" s="48">
        <f t="shared" si="91"/>
        <v>35.855549999999994</v>
      </c>
      <c r="O322" s="48">
        <f t="shared" si="92"/>
        <v>5.3424769499999991</v>
      </c>
      <c r="P322" s="48">
        <f t="shared" si="93"/>
        <v>1469.1811612499998</v>
      </c>
      <c r="Q322" s="48">
        <f t="shared" si="94"/>
        <v>3644.7391612499996</v>
      </c>
      <c r="R322" s="41">
        <f t="shared" si="95"/>
        <v>5134.4707083037492</v>
      </c>
    </row>
    <row r="323" spans="2:18" ht="51" x14ac:dyDescent="0.2">
      <c r="B323" s="61">
        <f>IF(F323&lt;&gt;"",1+MAX($B$21:B322),"")</f>
        <v>180</v>
      </c>
      <c r="C323" s="197"/>
      <c r="D323" s="73" t="s">
        <v>430</v>
      </c>
      <c r="E323" s="14" t="s">
        <v>72</v>
      </c>
      <c r="F323" s="19">
        <v>10</v>
      </c>
      <c r="G323" s="12">
        <v>3.89</v>
      </c>
      <c r="H323" s="12">
        <f t="shared" si="88"/>
        <v>3.7032799999999999</v>
      </c>
      <c r="I323" s="12">
        <f t="shared" si="89"/>
        <v>37.032800000000002</v>
      </c>
      <c r="J323" s="11">
        <v>0.14899999999999999</v>
      </c>
      <c r="K323" s="7">
        <f t="shared" si="90"/>
        <v>1.49</v>
      </c>
      <c r="L323" s="28" t="s">
        <v>1065</v>
      </c>
      <c r="M323" s="29">
        <v>49.05</v>
      </c>
      <c r="N323" s="48">
        <f t="shared" si="91"/>
        <v>35.855549999999994</v>
      </c>
      <c r="O323" s="48">
        <f t="shared" si="92"/>
        <v>5.3424769499999991</v>
      </c>
      <c r="P323" s="48">
        <f t="shared" si="93"/>
        <v>53.424769499999989</v>
      </c>
      <c r="Q323" s="48">
        <f t="shared" si="94"/>
        <v>90.457569499999991</v>
      </c>
      <c r="R323" s="41">
        <f t="shared" si="95"/>
        <v>127.94974799649999</v>
      </c>
    </row>
    <row r="324" spans="2:18" x14ac:dyDescent="0.2">
      <c r="B324" s="61" t="str">
        <f>IF(F324&lt;&gt;"",1+MAX($B$21:B323),"")</f>
        <v/>
      </c>
      <c r="C324" s="66"/>
      <c r="D324" s="73"/>
      <c r="E324" s="14"/>
      <c r="F324" s="19"/>
      <c r="G324" s="48"/>
      <c r="H324" s="48">
        <f t="shared" si="88"/>
        <v>0</v>
      </c>
      <c r="I324" s="48">
        <f t="shared" ref="I324" si="100">F324*H324</f>
        <v>0</v>
      </c>
      <c r="J324" s="49"/>
      <c r="K324" s="50">
        <f t="shared" ref="K324" si="101">F324*J324</f>
        <v>0</v>
      </c>
      <c r="L324" s="50"/>
      <c r="M324" s="48"/>
      <c r="N324" s="48">
        <f t="shared" si="91"/>
        <v>0</v>
      </c>
      <c r="O324" s="48">
        <f t="shared" si="92"/>
        <v>0</v>
      </c>
      <c r="P324" s="48">
        <f t="shared" si="93"/>
        <v>0</v>
      </c>
      <c r="Q324" s="48">
        <f t="shared" si="94"/>
        <v>0</v>
      </c>
      <c r="R324" s="41">
        <f t="shared" si="95"/>
        <v>0</v>
      </c>
    </row>
    <row r="325" spans="2:18" x14ac:dyDescent="0.2">
      <c r="B325" s="61" t="str">
        <f>IF(F325&lt;&gt;"",1+MAX($B$21:B324),"")</f>
        <v/>
      </c>
      <c r="C325" s="198" t="s">
        <v>442</v>
      </c>
      <c r="D325" s="75" t="s">
        <v>436</v>
      </c>
      <c r="E325" s="14"/>
      <c r="F325" s="19"/>
      <c r="G325" s="48"/>
      <c r="H325" s="48">
        <f t="shared" si="88"/>
        <v>0</v>
      </c>
      <c r="I325" s="48">
        <f t="shared" si="89"/>
        <v>0</v>
      </c>
      <c r="J325" s="49"/>
      <c r="K325" s="50">
        <f t="shared" si="90"/>
        <v>0</v>
      </c>
      <c r="L325" s="50"/>
      <c r="M325" s="48"/>
      <c r="N325" s="48">
        <f t="shared" si="91"/>
        <v>0</v>
      </c>
      <c r="O325" s="48">
        <f t="shared" si="92"/>
        <v>0</v>
      </c>
      <c r="P325" s="48">
        <f t="shared" si="93"/>
        <v>0</v>
      </c>
      <c r="Q325" s="48">
        <f t="shared" si="94"/>
        <v>0</v>
      </c>
      <c r="R325" s="41">
        <f t="shared" si="95"/>
        <v>0</v>
      </c>
    </row>
    <row r="326" spans="2:18" ht="51" x14ac:dyDescent="0.2">
      <c r="B326" s="61">
        <f>IF(F326&lt;&gt;"",1+MAX($B$21:B325),"")</f>
        <v>181</v>
      </c>
      <c r="C326" s="196"/>
      <c r="D326" s="73" t="s">
        <v>437</v>
      </c>
      <c r="E326" s="14" t="s">
        <v>72</v>
      </c>
      <c r="F326" s="19">
        <v>490</v>
      </c>
      <c r="G326" s="12">
        <v>4.41</v>
      </c>
      <c r="H326" s="12">
        <f t="shared" si="88"/>
        <v>4.1983199999999998</v>
      </c>
      <c r="I326" s="12">
        <f t="shared" si="89"/>
        <v>2057.1767999999997</v>
      </c>
      <c r="J326" s="11">
        <v>8.8999999999999996E-2</v>
      </c>
      <c r="K326" s="7">
        <f t="shared" si="90"/>
        <v>43.61</v>
      </c>
      <c r="L326" s="28" t="s">
        <v>1066</v>
      </c>
      <c r="M326" s="29">
        <v>52.2</v>
      </c>
      <c r="N326" s="48">
        <f t="shared" si="91"/>
        <v>38.158200000000001</v>
      </c>
      <c r="O326" s="48">
        <f t="shared" si="92"/>
        <v>3.3960797999999999</v>
      </c>
      <c r="P326" s="48">
        <f t="shared" si="93"/>
        <v>1664.0791019999999</v>
      </c>
      <c r="Q326" s="48">
        <f t="shared" si="94"/>
        <v>3721.2559019999999</v>
      </c>
      <c r="R326" s="41">
        <f t="shared" si="95"/>
        <v>5247.2825620739995</v>
      </c>
    </row>
    <row r="327" spans="2:18" ht="51" x14ac:dyDescent="0.2">
      <c r="B327" s="61">
        <f>IF(F327&lt;&gt;"",1+MAX($B$21:B326),"")</f>
        <v>182</v>
      </c>
      <c r="C327" s="196"/>
      <c r="D327" s="73" t="s">
        <v>439</v>
      </c>
      <c r="E327" s="14" t="s">
        <v>72</v>
      </c>
      <c r="F327" s="19">
        <v>360</v>
      </c>
      <c r="G327" s="12">
        <v>4.41</v>
      </c>
      <c r="H327" s="12">
        <f t="shared" si="88"/>
        <v>4.1983199999999998</v>
      </c>
      <c r="I327" s="12">
        <f t="shared" si="89"/>
        <v>1511.3951999999999</v>
      </c>
      <c r="J327" s="11">
        <v>8.8999999999999996E-2</v>
      </c>
      <c r="K327" s="7">
        <f t="shared" si="90"/>
        <v>32.04</v>
      </c>
      <c r="L327" s="28" t="s">
        <v>1066</v>
      </c>
      <c r="M327" s="29">
        <v>52.2</v>
      </c>
      <c r="N327" s="48">
        <f t="shared" si="91"/>
        <v>38.158200000000001</v>
      </c>
      <c r="O327" s="48">
        <f t="shared" si="92"/>
        <v>3.3960797999999999</v>
      </c>
      <c r="P327" s="48">
        <f t="shared" si="93"/>
        <v>1222.5887279999999</v>
      </c>
      <c r="Q327" s="48">
        <f t="shared" si="94"/>
        <v>2733.9839279999997</v>
      </c>
      <c r="R327" s="41">
        <f t="shared" si="95"/>
        <v>3855.1463721359996</v>
      </c>
    </row>
    <row r="328" spans="2:18" ht="25.5" x14ac:dyDescent="0.2">
      <c r="B328" s="61">
        <f>IF(F328&lt;&gt;"",1+MAX($B$21:B327),"")</f>
        <v>183</v>
      </c>
      <c r="C328" s="197"/>
      <c r="D328" s="73" t="s">
        <v>440</v>
      </c>
      <c r="E328" s="14" t="s">
        <v>74</v>
      </c>
      <c r="F328" s="19">
        <v>140</v>
      </c>
      <c r="G328" s="12">
        <v>4.41</v>
      </c>
      <c r="H328" s="12">
        <f t="shared" si="88"/>
        <v>4.1983199999999998</v>
      </c>
      <c r="I328" s="12">
        <f t="shared" si="89"/>
        <v>587.76479999999992</v>
      </c>
      <c r="J328" s="11">
        <v>8.8999999999999996E-2</v>
      </c>
      <c r="K328" s="7">
        <f t="shared" si="90"/>
        <v>12.459999999999999</v>
      </c>
      <c r="L328" s="28" t="s">
        <v>1066</v>
      </c>
      <c r="M328" s="29">
        <v>52.2</v>
      </c>
      <c r="N328" s="48">
        <f t="shared" si="91"/>
        <v>38.158200000000001</v>
      </c>
      <c r="O328" s="48">
        <f t="shared" si="92"/>
        <v>3.3960797999999999</v>
      </c>
      <c r="P328" s="48">
        <f t="shared" si="93"/>
        <v>475.45117199999999</v>
      </c>
      <c r="Q328" s="48">
        <f t="shared" si="94"/>
        <v>1063.215972</v>
      </c>
      <c r="R328" s="41">
        <f t="shared" si="95"/>
        <v>1499.223589164</v>
      </c>
    </row>
    <row r="329" spans="2:18" x14ac:dyDescent="0.2">
      <c r="B329" s="61" t="str">
        <f>IF(F329&lt;&gt;"",1+MAX($B$21:B328),"")</f>
        <v/>
      </c>
      <c r="C329" s="66"/>
      <c r="D329" s="73"/>
      <c r="E329" s="14"/>
      <c r="F329" s="19"/>
      <c r="G329" s="48"/>
      <c r="H329" s="48">
        <f t="shared" si="88"/>
        <v>0</v>
      </c>
      <c r="I329" s="48">
        <f t="shared" si="89"/>
        <v>0</v>
      </c>
      <c r="J329" s="49"/>
      <c r="K329" s="50">
        <f t="shared" si="90"/>
        <v>0</v>
      </c>
      <c r="L329" s="50"/>
      <c r="M329" s="48"/>
      <c r="N329" s="48">
        <f t="shared" si="91"/>
        <v>0</v>
      </c>
      <c r="O329" s="48">
        <f t="shared" si="92"/>
        <v>0</v>
      </c>
      <c r="P329" s="48">
        <f t="shared" si="93"/>
        <v>0</v>
      </c>
      <c r="Q329" s="48">
        <f t="shared" si="94"/>
        <v>0</v>
      </c>
      <c r="R329" s="41">
        <f t="shared" si="95"/>
        <v>0</v>
      </c>
    </row>
    <row r="330" spans="2:18" x14ac:dyDescent="0.2">
      <c r="B330" s="61" t="str">
        <f>IF(F330&lt;&gt;"",1+MAX($B$21:B329),"")</f>
        <v/>
      </c>
      <c r="C330" s="198" t="s">
        <v>442</v>
      </c>
      <c r="D330" s="75" t="s">
        <v>410</v>
      </c>
      <c r="E330" s="14"/>
      <c r="F330" s="19"/>
      <c r="G330" s="48"/>
      <c r="H330" s="48">
        <f t="shared" si="88"/>
        <v>0</v>
      </c>
      <c r="I330" s="48">
        <f t="shared" si="89"/>
        <v>0</v>
      </c>
      <c r="J330" s="49"/>
      <c r="K330" s="50">
        <f t="shared" si="90"/>
        <v>0</v>
      </c>
      <c r="L330" s="50"/>
      <c r="M330" s="48"/>
      <c r="N330" s="48">
        <f t="shared" si="91"/>
        <v>0</v>
      </c>
      <c r="O330" s="48">
        <f t="shared" si="92"/>
        <v>0</v>
      </c>
      <c r="P330" s="48">
        <f t="shared" si="93"/>
        <v>0</v>
      </c>
      <c r="Q330" s="48">
        <f t="shared" si="94"/>
        <v>0</v>
      </c>
      <c r="R330" s="41">
        <f t="shared" si="95"/>
        <v>0</v>
      </c>
    </row>
    <row r="331" spans="2:18" x14ac:dyDescent="0.2">
      <c r="B331" s="61">
        <f>IF(F331&lt;&gt;"",1+MAX($B$21:B330),"")</f>
        <v>184</v>
      </c>
      <c r="C331" s="196"/>
      <c r="D331" s="73" t="s">
        <v>434</v>
      </c>
      <c r="E331" s="14" t="s">
        <v>72</v>
      </c>
      <c r="F331" s="19">
        <f>1925+490+360+139*1.5</f>
        <v>2983.5</v>
      </c>
      <c r="G331" s="12">
        <v>1.1200000000000001</v>
      </c>
      <c r="H331" s="12">
        <f t="shared" ref="H331" si="102">G331*$T$2</f>
        <v>1.0662400000000001</v>
      </c>
      <c r="I331" s="12">
        <f t="shared" ref="I331" si="103">F331*H331</f>
        <v>3181.1270400000003</v>
      </c>
      <c r="J331" s="11">
        <v>2.4E-2</v>
      </c>
      <c r="K331" s="7">
        <f t="shared" ref="K331" si="104">F331*J331</f>
        <v>71.603999999999999</v>
      </c>
      <c r="L331" s="28" t="s">
        <v>1055</v>
      </c>
      <c r="M331" s="29">
        <v>46.2</v>
      </c>
      <c r="N331" s="48">
        <f t="shared" ref="N331:N342" si="105">M331*$U$2</f>
        <v>33.772199999999998</v>
      </c>
      <c r="O331" s="48">
        <f t="shared" ref="O331:O342" si="106">J331*N331</f>
        <v>0.81053279999999994</v>
      </c>
      <c r="P331" s="48">
        <f t="shared" ref="P331:P342" si="107">F331*O331</f>
        <v>2418.2246087999997</v>
      </c>
      <c r="Q331" s="48">
        <f t="shared" ref="Q331:Q343" si="108">I331+P331</f>
        <v>5599.3516488000005</v>
      </c>
      <c r="R331" s="41">
        <f t="shared" ref="R331:R343" si="109">Q331+(I331*$Q$7)+(P331*$Q$8)+(Q331*$Q$9)+(Q331*$Q$11)+($Q$10*(Q331+(I331*$Q$7)+(P331*$Q$8)+(Q331*$Q$9)))</f>
        <v>7892.9323154136009</v>
      </c>
    </row>
    <row r="332" spans="2:18" x14ac:dyDescent="0.2">
      <c r="B332" s="61" t="str">
        <f>IF(F332&lt;&gt;"",1+MAX($B$21:B331),"")</f>
        <v/>
      </c>
      <c r="C332" s="196"/>
      <c r="D332" s="73"/>
      <c r="E332" s="14"/>
      <c r="F332" s="19"/>
      <c r="G332" s="48"/>
      <c r="H332" s="48">
        <f t="shared" ref="H332:H342" si="110">G332*$T$2</f>
        <v>0</v>
      </c>
      <c r="I332" s="48">
        <f t="shared" ref="I332:I343" si="111">F332*H332</f>
        <v>0</v>
      </c>
      <c r="J332" s="49"/>
      <c r="K332" s="50">
        <f t="shared" ref="K332:K342" si="112">F332*J332</f>
        <v>0</v>
      </c>
      <c r="L332" s="50"/>
      <c r="M332" s="48"/>
      <c r="N332" s="48">
        <f t="shared" si="105"/>
        <v>0</v>
      </c>
      <c r="O332" s="48">
        <f t="shared" si="106"/>
        <v>0</v>
      </c>
      <c r="P332" s="48">
        <f t="shared" si="107"/>
        <v>0</v>
      </c>
      <c r="Q332" s="48">
        <f t="shared" si="108"/>
        <v>0</v>
      </c>
      <c r="R332" s="41">
        <f t="shared" si="109"/>
        <v>0</v>
      </c>
    </row>
    <row r="333" spans="2:18" x14ac:dyDescent="0.2">
      <c r="B333" s="61" t="str">
        <f>IF(F333&lt;&gt;"",1+MAX($B$21:B332),"")</f>
        <v/>
      </c>
      <c r="C333" s="196"/>
      <c r="D333" s="75" t="s">
        <v>425</v>
      </c>
      <c r="E333" s="14"/>
      <c r="F333" s="19"/>
      <c r="G333" s="48"/>
      <c r="H333" s="48">
        <f t="shared" si="110"/>
        <v>0</v>
      </c>
      <c r="I333" s="48">
        <f t="shared" si="111"/>
        <v>0</v>
      </c>
      <c r="J333" s="49"/>
      <c r="K333" s="50">
        <f t="shared" si="112"/>
        <v>0</v>
      </c>
      <c r="L333" s="50"/>
      <c r="M333" s="48"/>
      <c r="N333" s="48">
        <f t="shared" si="105"/>
        <v>0</v>
      </c>
      <c r="O333" s="48">
        <f t="shared" si="106"/>
        <v>0</v>
      </c>
      <c r="P333" s="48">
        <f t="shared" si="107"/>
        <v>0</v>
      </c>
      <c r="Q333" s="48">
        <f t="shared" si="108"/>
        <v>0</v>
      </c>
      <c r="R333" s="41">
        <f t="shared" si="109"/>
        <v>0</v>
      </c>
    </row>
    <row r="334" spans="2:18" x14ac:dyDescent="0.2">
      <c r="B334" s="61">
        <f>IF(F334&lt;&gt;"",1+MAX($B$21:B333),"")</f>
        <v>185</v>
      </c>
      <c r="C334" s="196"/>
      <c r="D334" s="73" t="s">
        <v>426</v>
      </c>
      <c r="E334" s="14" t="s">
        <v>74</v>
      </c>
      <c r="F334" s="19">
        <v>48.27</v>
      </c>
      <c r="G334" s="48">
        <v>8</v>
      </c>
      <c r="H334" s="48">
        <f t="shared" si="110"/>
        <v>7.6159999999999997</v>
      </c>
      <c r="I334" s="48">
        <f t="shared" si="111"/>
        <v>367.62432000000001</v>
      </c>
      <c r="J334" s="49">
        <v>0.1</v>
      </c>
      <c r="K334" s="50">
        <f t="shared" si="112"/>
        <v>4.8270000000000008</v>
      </c>
      <c r="L334" s="50" t="s">
        <v>1048</v>
      </c>
      <c r="M334" s="48">
        <v>53.15</v>
      </c>
      <c r="N334" s="48">
        <f t="shared" si="105"/>
        <v>38.852649999999997</v>
      </c>
      <c r="O334" s="48">
        <f t="shared" si="106"/>
        <v>3.885265</v>
      </c>
      <c r="P334" s="48">
        <f t="shared" si="107"/>
        <v>187.54174155000001</v>
      </c>
      <c r="Q334" s="48">
        <f t="shared" si="108"/>
        <v>555.16606154999999</v>
      </c>
      <c r="R334" s="41">
        <f t="shared" si="109"/>
        <v>780.97266563984999</v>
      </c>
    </row>
    <row r="335" spans="2:18" x14ac:dyDescent="0.2">
      <c r="B335" s="61" t="str">
        <f>IF(F335&lt;&gt;"",1+MAX($B$21:B334),"")</f>
        <v/>
      </c>
      <c r="C335" s="196"/>
      <c r="D335" s="73"/>
      <c r="E335" s="14"/>
      <c r="F335" s="19"/>
      <c r="G335" s="48"/>
      <c r="H335" s="48">
        <f t="shared" si="110"/>
        <v>0</v>
      </c>
      <c r="I335" s="48">
        <f t="shared" si="111"/>
        <v>0</v>
      </c>
      <c r="J335" s="49"/>
      <c r="K335" s="50">
        <f t="shared" si="112"/>
        <v>0</v>
      </c>
      <c r="L335" s="50"/>
      <c r="M335" s="48"/>
      <c r="N335" s="48">
        <f t="shared" si="105"/>
        <v>0</v>
      </c>
      <c r="O335" s="48">
        <f t="shared" si="106"/>
        <v>0</v>
      </c>
      <c r="P335" s="48">
        <f t="shared" si="107"/>
        <v>0</v>
      </c>
      <c r="Q335" s="48">
        <f t="shared" si="108"/>
        <v>0</v>
      </c>
      <c r="R335" s="41">
        <f t="shared" si="109"/>
        <v>0</v>
      </c>
    </row>
    <row r="336" spans="2:18" x14ac:dyDescent="0.2">
      <c r="B336" s="61" t="str">
        <f>IF(F336&lt;&gt;"",1+MAX($B$21:B335),"")</f>
        <v/>
      </c>
      <c r="C336" s="196"/>
      <c r="D336" s="75" t="s">
        <v>387</v>
      </c>
      <c r="E336" s="14"/>
      <c r="F336" s="19"/>
      <c r="G336" s="48"/>
      <c r="H336" s="48">
        <f t="shared" si="110"/>
        <v>0</v>
      </c>
      <c r="I336" s="48">
        <f t="shared" si="111"/>
        <v>0</v>
      </c>
      <c r="J336" s="49"/>
      <c r="K336" s="50">
        <f t="shared" si="112"/>
        <v>0</v>
      </c>
      <c r="L336" s="50"/>
      <c r="M336" s="48"/>
      <c r="N336" s="48">
        <f t="shared" si="105"/>
        <v>0</v>
      </c>
      <c r="O336" s="48">
        <f t="shared" si="106"/>
        <v>0</v>
      </c>
      <c r="P336" s="48">
        <f t="shared" si="107"/>
        <v>0</v>
      </c>
      <c r="Q336" s="48">
        <f t="shared" si="108"/>
        <v>0</v>
      </c>
      <c r="R336" s="41">
        <f t="shared" si="109"/>
        <v>0</v>
      </c>
    </row>
    <row r="337" spans="2:20" x14ac:dyDescent="0.2">
      <c r="B337" s="61">
        <f>IF(F337&lt;&gt;"",1+MAX($B$21:B336),"")</f>
        <v>186</v>
      </c>
      <c r="C337" s="196"/>
      <c r="D337" s="73" t="s">
        <v>423</v>
      </c>
      <c r="E337" s="14" t="s">
        <v>74</v>
      </c>
      <c r="F337" s="19">
        <v>101.18</v>
      </c>
      <c r="G337" s="12">
        <v>1.45</v>
      </c>
      <c r="H337" s="12">
        <f t="shared" si="110"/>
        <v>1.3803999999999998</v>
      </c>
      <c r="I337" s="12">
        <f t="shared" si="111"/>
        <v>139.66887199999999</v>
      </c>
      <c r="J337" s="11">
        <v>6.0999999999999999E-2</v>
      </c>
      <c r="K337" s="7">
        <f t="shared" si="112"/>
        <v>6.1719800000000005</v>
      </c>
      <c r="L337" s="28" t="s">
        <v>1062</v>
      </c>
      <c r="M337" s="29">
        <v>46.2</v>
      </c>
      <c r="N337" s="48">
        <f t="shared" si="105"/>
        <v>33.772199999999998</v>
      </c>
      <c r="O337" s="48">
        <f t="shared" si="106"/>
        <v>2.0601042000000001</v>
      </c>
      <c r="P337" s="48">
        <f t="shared" si="107"/>
        <v>208.44134295600003</v>
      </c>
      <c r="Q337" s="48">
        <f t="shared" si="108"/>
        <v>348.11021495600005</v>
      </c>
      <c r="R337" s="41">
        <f t="shared" si="109"/>
        <v>492.47940925901213</v>
      </c>
    </row>
    <row r="338" spans="2:20" x14ac:dyDescent="0.2">
      <c r="B338" s="61">
        <f>IF(F338&lt;&gt;"",1+MAX($B$21:B337),"")</f>
        <v>187</v>
      </c>
      <c r="C338" s="196"/>
      <c r="D338" s="73" t="s">
        <v>424</v>
      </c>
      <c r="E338" s="14" t="s">
        <v>74</v>
      </c>
      <c r="F338" s="19">
        <v>213.07</v>
      </c>
      <c r="G338" s="12">
        <v>1.45</v>
      </c>
      <c r="H338" s="12">
        <f t="shared" si="110"/>
        <v>1.3803999999999998</v>
      </c>
      <c r="I338" s="12">
        <f t="shared" si="111"/>
        <v>294.12182799999994</v>
      </c>
      <c r="J338" s="11">
        <v>6.0999999999999999E-2</v>
      </c>
      <c r="K338" s="7">
        <f t="shared" si="112"/>
        <v>12.997269999999999</v>
      </c>
      <c r="L338" s="28" t="s">
        <v>1062</v>
      </c>
      <c r="M338" s="29">
        <v>46.2</v>
      </c>
      <c r="N338" s="48">
        <f t="shared" si="105"/>
        <v>33.772199999999998</v>
      </c>
      <c r="O338" s="48">
        <f t="shared" si="106"/>
        <v>2.0601042000000001</v>
      </c>
      <c r="P338" s="48">
        <f t="shared" si="107"/>
        <v>438.94640189400002</v>
      </c>
      <c r="Q338" s="48">
        <f t="shared" si="108"/>
        <v>733.06822989399996</v>
      </c>
      <c r="R338" s="41">
        <f t="shared" si="109"/>
        <v>1037.0882361219378</v>
      </c>
    </row>
    <row r="339" spans="2:20" x14ac:dyDescent="0.2">
      <c r="B339" s="61">
        <f>IF(F339&lt;&gt;"",1+MAX($B$21:B338),"")</f>
        <v>188</v>
      </c>
      <c r="C339" s="196"/>
      <c r="D339" s="73" t="s">
        <v>498</v>
      </c>
      <c r="E339" s="14" t="s">
        <v>74</v>
      </c>
      <c r="F339" s="19">
        <v>25</v>
      </c>
      <c r="G339" s="12">
        <v>1.45</v>
      </c>
      <c r="H339" s="12">
        <f t="shared" si="110"/>
        <v>1.3803999999999998</v>
      </c>
      <c r="I339" s="12">
        <f t="shared" si="111"/>
        <v>34.51</v>
      </c>
      <c r="J339" s="11">
        <v>6.0999999999999999E-2</v>
      </c>
      <c r="K339" s="7">
        <f t="shared" si="112"/>
        <v>1.5249999999999999</v>
      </c>
      <c r="L339" s="28" t="s">
        <v>1062</v>
      </c>
      <c r="M339" s="29">
        <v>46.2</v>
      </c>
      <c r="N339" s="48">
        <f t="shared" si="105"/>
        <v>33.772199999999998</v>
      </c>
      <c r="O339" s="48">
        <f t="shared" si="106"/>
        <v>2.0601042000000001</v>
      </c>
      <c r="P339" s="48">
        <f t="shared" si="107"/>
        <v>51.502605000000003</v>
      </c>
      <c r="Q339" s="48">
        <f t="shared" si="108"/>
        <v>86.012605000000008</v>
      </c>
      <c r="R339" s="41">
        <f t="shared" si="109"/>
        <v>121.68398133500001</v>
      </c>
    </row>
    <row r="340" spans="2:20" x14ac:dyDescent="0.2">
      <c r="B340" s="61" t="str">
        <f>IF(F340&lt;&gt;"",1+MAX($B$21:B339),"")</f>
        <v/>
      </c>
      <c r="C340" s="196"/>
      <c r="D340" s="73"/>
      <c r="E340" s="14"/>
      <c r="F340" s="19"/>
      <c r="G340" s="48"/>
      <c r="H340" s="48">
        <f t="shared" si="110"/>
        <v>0</v>
      </c>
      <c r="I340" s="48">
        <f t="shared" si="111"/>
        <v>0</v>
      </c>
      <c r="J340" s="49"/>
      <c r="K340" s="50">
        <f t="shared" si="112"/>
        <v>0</v>
      </c>
      <c r="L340" s="50"/>
      <c r="M340" s="48"/>
      <c r="N340" s="48">
        <f t="shared" si="105"/>
        <v>0</v>
      </c>
      <c r="O340" s="48">
        <f t="shared" si="106"/>
        <v>0</v>
      </c>
      <c r="P340" s="48">
        <f t="shared" si="107"/>
        <v>0</v>
      </c>
      <c r="Q340" s="48">
        <f t="shared" si="108"/>
        <v>0</v>
      </c>
      <c r="R340" s="41">
        <f t="shared" si="109"/>
        <v>0</v>
      </c>
    </row>
    <row r="341" spans="2:20" x14ac:dyDescent="0.2">
      <c r="B341" s="61" t="str">
        <f>IF(F341&lt;&gt;"",1+MAX($B$21:B340),"")</f>
        <v/>
      </c>
      <c r="C341" s="196"/>
      <c r="D341" s="75" t="s">
        <v>77</v>
      </c>
      <c r="E341" s="14"/>
      <c r="F341" s="19"/>
      <c r="G341" s="48"/>
      <c r="H341" s="48">
        <f t="shared" si="110"/>
        <v>0</v>
      </c>
      <c r="I341" s="48">
        <f t="shared" si="111"/>
        <v>0</v>
      </c>
      <c r="J341" s="49"/>
      <c r="K341" s="50">
        <f t="shared" si="112"/>
        <v>0</v>
      </c>
      <c r="L341" s="50"/>
      <c r="M341" s="48"/>
      <c r="N341" s="48">
        <f t="shared" si="105"/>
        <v>0</v>
      </c>
      <c r="O341" s="48">
        <f t="shared" si="106"/>
        <v>0</v>
      </c>
      <c r="P341" s="48">
        <f t="shared" si="107"/>
        <v>0</v>
      </c>
      <c r="Q341" s="48">
        <f t="shared" si="108"/>
        <v>0</v>
      </c>
      <c r="R341" s="41">
        <f t="shared" si="109"/>
        <v>0</v>
      </c>
    </row>
    <row r="342" spans="2:20" x14ac:dyDescent="0.2">
      <c r="B342" s="61">
        <f>IF(F342&lt;&gt;"",1+MAX($B$21:B341),"")</f>
        <v>189</v>
      </c>
      <c r="C342" s="197"/>
      <c r="D342" s="73" t="s">
        <v>427</v>
      </c>
      <c r="E342" s="14" t="s">
        <v>74</v>
      </c>
      <c r="F342" s="19">
        <v>221.96</v>
      </c>
      <c r="G342" s="12">
        <v>0.88</v>
      </c>
      <c r="H342" s="12">
        <f t="shared" si="110"/>
        <v>0.83775999999999995</v>
      </c>
      <c r="I342" s="12">
        <f t="shared" si="111"/>
        <v>185.94920959999999</v>
      </c>
      <c r="J342" s="11">
        <v>4.3999999999999997E-2</v>
      </c>
      <c r="K342" s="7">
        <f t="shared" si="112"/>
        <v>9.7662399999999998</v>
      </c>
      <c r="L342" s="28" t="s">
        <v>1061</v>
      </c>
      <c r="M342" s="29">
        <v>52.05</v>
      </c>
      <c r="N342" s="48">
        <f t="shared" si="105"/>
        <v>38.048549999999999</v>
      </c>
      <c r="O342" s="48">
        <f t="shared" si="106"/>
        <v>1.6741361999999997</v>
      </c>
      <c r="P342" s="48">
        <f t="shared" si="107"/>
        <v>371.59127095199995</v>
      </c>
      <c r="Q342" s="48">
        <f t="shared" si="108"/>
        <v>557.54048055199996</v>
      </c>
      <c r="R342" s="41">
        <f t="shared" si="109"/>
        <v>789.92021993394394</v>
      </c>
    </row>
    <row r="343" spans="2:20" ht="13.5" thickBot="1" x14ac:dyDescent="0.25">
      <c r="B343" s="61" t="str">
        <f>IF(F343&lt;&gt;"",1+MAX($B$21:B342),"")</f>
        <v/>
      </c>
      <c r="C343" s="67"/>
      <c r="D343" s="73"/>
      <c r="E343" s="14"/>
      <c r="F343" s="19"/>
      <c r="G343" s="48"/>
      <c r="H343" s="48">
        <f>G343*$T$2</f>
        <v>0</v>
      </c>
      <c r="I343" s="48">
        <f t="shared" si="111"/>
        <v>0</v>
      </c>
      <c r="J343" s="49"/>
      <c r="K343" s="50">
        <f>F343*J343</f>
        <v>0</v>
      </c>
      <c r="L343" s="50"/>
      <c r="M343" s="48"/>
      <c r="N343" s="48">
        <f>M343*$U$2</f>
        <v>0</v>
      </c>
      <c r="O343" s="48">
        <f>J343*N343</f>
        <v>0</v>
      </c>
      <c r="P343" s="48">
        <f>F343*O343</f>
        <v>0</v>
      </c>
      <c r="Q343" s="48">
        <f t="shared" si="108"/>
        <v>0</v>
      </c>
      <c r="R343" s="41">
        <f t="shared" si="109"/>
        <v>0</v>
      </c>
    </row>
    <row r="344" spans="2:20" s="9" customFormat="1" ht="26.25" thickBot="1" x14ac:dyDescent="0.25">
      <c r="B344" s="59" t="str">
        <f>IF(F344&lt;&gt;"",1+MAX($B$21:B343),"")</f>
        <v/>
      </c>
      <c r="C344" s="65" t="s">
        <v>46</v>
      </c>
      <c r="D344" s="72" t="s">
        <v>12</v>
      </c>
      <c r="E344" s="51"/>
      <c r="F344" s="51"/>
      <c r="G344" s="51"/>
      <c r="H344" s="52" t="s">
        <v>61</v>
      </c>
      <c r="I344" s="53">
        <f>SUM(I345:I391)</f>
        <v>71726.040959999998</v>
      </c>
      <c r="J344" s="54"/>
      <c r="K344" s="55" t="str">
        <f>ROUND(SUM(K345:K391),0) &amp; " " &amp; "HRS"</f>
        <v>213 HRS</v>
      </c>
      <c r="L344" s="56"/>
      <c r="M344" s="56"/>
      <c r="N344" s="56"/>
      <c r="O344" s="52" t="s">
        <v>62</v>
      </c>
      <c r="P344" s="53">
        <f>SUM(P345:P391)</f>
        <v>8340.0783509409994</v>
      </c>
      <c r="Q344" s="57">
        <f>SUM(Q345:Q391)</f>
        <v>80066.119310941009</v>
      </c>
      <c r="R344" s="58">
        <f>(Q344)+(I344*$Q$7)+(P344*$Q$8)+(Q344*$Q$9)+($Q$10*((Q344)+(I344*$Q$7)+(P344*$Q$8)+(Q344*$Q$9)))+(Q344*$Q$11)</f>
        <v>112059.53540333683</v>
      </c>
    </row>
    <row r="345" spans="2:20" x14ac:dyDescent="0.2">
      <c r="B345" s="61" t="str">
        <f>IF(F345&lt;&gt;"",1+MAX($B$21:B344),"")</f>
        <v/>
      </c>
      <c r="C345" s="67"/>
      <c r="D345" s="73"/>
      <c r="E345" s="14"/>
      <c r="F345" s="19"/>
      <c r="G345" s="48"/>
      <c r="H345" s="48">
        <f t="shared" ref="H345:H391" si="113">G345*$T$2</f>
        <v>0</v>
      </c>
      <c r="I345" s="48">
        <f t="shared" ref="I345:I391" si="114">F345*H345</f>
        <v>0</v>
      </c>
      <c r="J345" s="49"/>
      <c r="K345" s="50">
        <f t="shared" ref="K345:K391" si="115">F345*J345</f>
        <v>0</v>
      </c>
      <c r="L345" s="50"/>
      <c r="M345" s="48"/>
      <c r="N345" s="48">
        <f t="shared" ref="N345:N391" si="116">M345*$U$2</f>
        <v>0</v>
      </c>
      <c r="O345" s="48">
        <f t="shared" ref="O345:O391" si="117">J345*N345</f>
        <v>0</v>
      </c>
      <c r="P345" s="48">
        <f t="shared" ref="P345:P391" si="118">F345*O345</f>
        <v>0</v>
      </c>
      <c r="Q345" s="48">
        <f t="shared" ref="Q345:Q391" si="119">I345+P345</f>
        <v>0</v>
      </c>
      <c r="R345" s="41">
        <f t="shared" ref="R345:R391" si="120">Q345+(I345*$Q$7)+(P345*$Q$8)+(Q345*$Q$9)+(Q345*$Q$11)+($Q$10*(Q345+(I345*$Q$7)+(P345*$Q$8)+(Q345*$Q$9)))</f>
        <v>0</v>
      </c>
      <c r="S345" s="9"/>
    </row>
    <row r="346" spans="2:20" x14ac:dyDescent="0.2">
      <c r="B346" s="62" t="str">
        <f>IF(F346&lt;&gt;"",1+MAX($B$21:B345),"")</f>
        <v/>
      </c>
      <c r="C346" s="68"/>
      <c r="D346" s="74" t="s">
        <v>80</v>
      </c>
      <c r="E346" s="14"/>
      <c r="F346" s="19"/>
      <c r="G346" s="48"/>
      <c r="H346" s="48">
        <f t="shared" si="113"/>
        <v>0</v>
      </c>
      <c r="I346" s="48">
        <f t="shared" si="114"/>
        <v>0</v>
      </c>
      <c r="J346" s="49"/>
      <c r="K346" s="50">
        <f t="shared" si="115"/>
        <v>0</v>
      </c>
      <c r="L346" s="50"/>
      <c r="M346" s="48"/>
      <c r="N346" s="48">
        <f t="shared" si="116"/>
        <v>0</v>
      </c>
      <c r="O346" s="48">
        <f t="shared" si="117"/>
        <v>0</v>
      </c>
      <c r="P346" s="48">
        <f t="shared" si="118"/>
        <v>0</v>
      </c>
      <c r="Q346" s="48">
        <f t="shared" si="119"/>
        <v>0</v>
      </c>
      <c r="R346" s="41">
        <f t="shared" si="120"/>
        <v>0</v>
      </c>
    </row>
    <row r="347" spans="2:20" x14ac:dyDescent="0.2">
      <c r="B347" s="61" t="str">
        <f>IF(F347&lt;&gt;"",1+MAX($B$21:B346),"")</f>
        <v/>
      </c>
      <c r="C347" s="67"/>
      <c r="D347" s="75"/>
      <c r="E347" s="14"/>
      <c r="F347" s="19"/>
      <c r="G347" s="48"/>
      <c r="H347" s="48">
        <f t="shared" si="113"/>
        <v>0</v>
      </c>
      <c r="I347" s="48">
        <f t="shared" si="114"/>
        <v>0</v>
      </c>
      <c r="J347" s="49"/>
      <c r="K347" s="50">
        <f t="shared" si="115"/>
        <v>0</v>
      </c>
      <c r="L347" s="50"/>
      <c r="M347" s="48"/>
      <c r="N347" s="48">
        <f t="shared" si="116"/>
        <v>0</v>
      </c>
      <c r="O347" s="48">
        <f t="shared" si="117"/>
        <v>0</v>
      </c>
      <c r="P347" s="48">
        <f t="shared" si="118"/>
        <v>0</v>
      </c>
      <c r="Q347" s="48">
        <f t="shared" si="119"/>
        <v>0</v>
      </c>
      <c r="R347" s="41">
        <f t="shared" si="120"/>
        <v>0</v>
      </c>
    </row>
    <row r="348" spans="2:20" ht="63.75" x14ac:dyDescent="0.2">
      <c r="B348" s="61" t="str">
        <f>IF(F348&lt;&gt;"",1+MAX($B$21:B347),"")</f>
        <v/>
      </c>
      <c r="C348" s="67"/>
      <c r="D348" s="73" t="s">
        <v>497</v>
      </c>
      <c r="E348" s="14"/>
      <c r="F348" s="19"/>
      <c r="G348" s="48"/>
      <c r="H348" s="48">
        <f t="shared" si="113"/>
        <v>0</v>
      </c>
      <c r="I348" s="48">
        <f t="shared" si="114"/>
        <v>0</v>
      </c>
      <c r="J348" s="49"/>
      <c r="K348" s="50">
        <f t="shared" si="115"/>
        <v>0</v>
      </c>
      <c r="L348" s="50"/>
      <c r="M348" s="48"/>
      <c r="N348" s="48">
        <f t="shared" si="116"/>
        <v>0</v>
      </c>
      <c r="O348" s="48">
        <f t="shared" si="117"/>
        <v>0</v>
      </c>
      <c r="P348" s="48">
        <f t="shared" si="118"/>
        <v>0</v>
      </c>
      <c r="Q348" s="48">
        <f t="shared" si="119"/>
        <v>0</v>
      </c>
      <c r="R348" s="41">
        <f t="shared" si="120"/>
        <v>0</v>
      </c>
    </row>
    <row r="349" spans="2:20" x14ac:dyDescent="0.2">
      <c r="B349" s="61" t="str">
        <f>IF(F349&lt;&gt;"",1+MAX($B$21:B348),"")</f>
        <v/>
      </c>
      <c r="C349" s="67"/>
      <c r="D349" s="73"/>
      <c r="E349" s="14"/>
      <c r="F349" s="19"/>
      <c r="G349" s="48"/>
      <c r="H349" s="48">
        <f t="shared" si="113"/>
        <v>0</v>
      </c>
      <c r="I349" s="48">
        <f t="shared" si="114"/>
        <v>0</v>
      </c>
      <c r="J349" s="49"/>
      <c r="K349" s="50">
        <f t="shared" si="115"/>
        <v>0</v>
      </c>
      <c r="L349" s="50"/>
      <c r="M349" s="48"/>
      <c r="N349" s="48">
        <f t="shared" si="116"/>
        <v>0</v>
      </c>
      <c r="O349" s="48">
        <f t="shared" si="117"/>
        <v>0</v>
      </c>
      <c r="P349" s="48">
        <f t="shared" si="118"/>
        <v>0</v>
      </c>
      <c r="Q349" s="48">
        <f t="shared" si="119"/>
        <v>0</v>
      </c>
      <c r="R349" s="41">
        <f t="shared" si="120"/>
        <v>0</v>
      </c>
    </row>
    <row r="350" spans="2:20" x14ac:dyDescent="0.2">
      <c r="B350" s="61" t="str">
        <f>IF(F350&lt;&gt;"",1+MAX($B$21:B349),"")</f>
        <v/>
      </c>
      <c r="C350" s="198" t="s">
        <v>496</v>
      </c>
      <c r="D350" s="75" t="s">
        <v>81</v>
      </c>
      <c r="E350" s="14"/>
      <c r="F350" s="19"/>
      <c r="G350" s="48"/>
      <c r="H350" s="48">
        <f t="shared" si="113"/>
        <v>0</v>
      </c>
      <c r="I350" s="48">
        <f t="shared" si="114"/>
        <v>0</v>
      </c>
      <c r="J350" s="49"/>
      <c r="K350" s="50">
        <f t="shared" si="115"/>
        <v>0</v>
      </c>
      <c r="L350" s="50"/>
      <c r="M350" s="48"/>
      <c r="N350" s="48">
        <f t="shared" si="116"/>
        <v>0</v>
      </c>
      <c r="O350" s="48">
        <f t="shared" si="117"/>
        <v>0</v>
      </c>
      <c r="P350" s="48">
        <f t="shared" si="118"/>
        <v>0</v>
      </c>
      <c r="Q350" s="48">
        <f t="shared" si="119"/>
        <v>0</v>
      </c>
      <c r="R350" s="41">
        <f t="shared" si="120"/>
        <v>0</v>
      </c>
    </row>
    <row r="351" spans="2:20" ht="38.25" x14ac:dyDescent="0.2">
      <c r="B351" s="61">
        <f>IF(F351&lt;&gt;"",1+MAX($B$21:B350),"")</f>
        <v>190</v>
      </c>
      <c r="C351" s="196"/>
      <c r="D351" s="73" t="s">
        <v>470</v>
      </c>
      <c r="E351" s="14" t="s">
        <v>79</v>
      </c>
      <c r="F351" s="19">
        <v>1</v>
      </c>
      <c r="G351" s="12">
        <v>1970</v>
      </c>
      <c r="H351" s="12">
        <f t="shared" si="113"/>
        <v>1875.4399999999998</v>
      </c>
      <c r="I351" s="12">
        <f t="shared" si="114"/>
        <v>1875.4399999999998</v>
      </c>
      <c r="J351" s="11">
        <v>8.048</v>
      </c>
      <c r="K351" s="7">
        <f t="shared" si="115"/>
        <v>8.048</v>
      </c>
      <c r="L351" s="28" t="s">
        <v>1067</v>
      </c>
      <c r="M351" s="29">
        <v>51</v>
      </c>
      <c r="N351" s="48">
        <f t="shared" si="116"/>
        <v>37.280999999999999</v>
      </c>
      <c r="O351" s="48">
        <f t="shared" si="117"/>
        <v>300.037488</v>
      </c>
      <c r="P351" s="48">
        <f t="shared" si="118"/>
        <v>300.037488</v>
      </c>
      <c r="Q351" s="48">
        <f t="shared" si="119"/>
        <v>2175.477488</v>
      </c>
      <c r="R351" s="41">
        <f t="shared" si="120"/>
        <v>3047.0179113759996</v>
      </c>
    </row>
    <row r="352" spans="2:20" ht="25.5" x14ac:dyDescent="0.2">
      <c r="B352" s="61">
        <f>IF(F352&lt;&gt;"",1+MAX($B$21:B351),"")</f>
        <v>191</v>
      </c>
      <c r="C352" s="196"/>
      <c r="D352" s="73" t="s">
        <v>466</v>
      </c>
      <c r="E352" s="14" t="s">
        <v>79</v>
      </c>
      <c r="F352" s="19">
        <v>3</v>
      </c>
      <c r="G352" s="12">
        <v>885</v>
      </c>
      <c r="H352" s="12">
        <f t="shared" si="113"/>
        <v>842.52</v>
      </c>
      <c r="I352" s="12">
        <f t="shared" si="114"/>
        <v>2527.56</v>
      </c>
      <c r="J352" s="11">
        <v>7.2439999999999998</v>
      </c>
      <c r="K352" s="7">
        <f t="shared" si="115"/>
        <v>21.731999999999999</v>
      </c>
      <c r="L352" s="28" t="s">
        <v>1052</v>
      </c>
      <c r="M352" s="29">
        <v>53.15</v>
      </c>
      <c r="N352" s="48">
        <f t="shared" si="116"/>
        <v>38.852649999999997</v>
      </c>
      <c r="O352" s="48">
        <f t="shared" si="117"/>
        <v>281.44859659999997</v>
      </c>
      <c r="P352" s="48">
        <f t="shared" si="118"/>
        <v>844.34578979999992</v>
      </c>
      <c r="Q352" s="48">
        <f t="shared" si="119"/>
        <v>3371.9057898000001</v>
      </c>
      <c r="R352" s="41">
        <f t="shared" si="120"/>
        <v>4734.3662260446008</v>
      </c>
      <c r="T352" s="143"/>
    </row>
    <row r="353" spans="2:20" ht="38.25" x14ac:dyDescent="0.2">
      <c r="B353" s="61">
        <f>IF(F353&lt;&gt;"",1+MAX($B$21:B352),"")</f>
        <v>192</v>
      </c>
      <c r="C353" s="196"/>
      <c r="D353" s="73" t="s">
        <v>467</v>
      </c>
      <c r="E353" s="14" t="s">
        <v>79</v>
      </c>
      <c r="F353" s="19">
        <v>2</v>
      </c>
      <c r="G353" s="12">
        <v>885</v>
      </c>
      <c r="H353" s="12">
        <f t="shared" si="113"/>
        <v>842.52</v>
      </c>
      <c r="I353" s="12">
        <f t="shared" si="114"/>
        <v>1685.04</v>
      </c>
      <c r="J353" s="11">
        <v>7.2439999999999998</v>
      </c>
      <c r="K353" s="7">
        <f t="shared" si="115"/>
        <v>14.488</v>
      </c>
      <c r="L353" s="28" t="s">
        <v>1052</v>
      </c>
      <c r="M353" s="29">
        <v>53.15</v>
      </c>
      <c r="N353" s="48">
        <f t="shared" si="116"/>
        <v>38.852649999999997</v>
      </c>
      <c r="O353" s="48">
        <f t="shared" si="117"/>
        <v>281.44859659999997</v>
      </c>
      <c r="P353" s="48">
        <f t="shared" si="118"/>
        <v>562.89719319999995</v>
      </c>
      <c r="Q353" s="48">
        <f t="shared" si="119"/>
        <v>2247.9371931999999</v>
      </c>
      <c r="R353" s="41">
        <f t="shared" si="120"/>
        <v>3156.2441506963996</v>
      </c>
      <c r="T353" s="143"/>
    </row>
    <row r="354" spans="2:20" ht="38.25" x14ac:dyDescent="0.2">
      <c r="B354" s="61">
        <f>IF(F354&lt;&gt;"",1+MAX($B$21:B353),"")</f>
        <v>193</v>
      </c>
      <c r="C354" s="196"/>
      <c r="D354" s="73" t="s">
        <v>468</v>
      </c>
      <c r="E354" s="14" t="s">
        <v>79</v>
      </c>
      <c r="F354" s="19">
        <v>1</v>
      </c>
      <c r="G354" s="12">
        <v>885</v>
      </c>
      <c r="H354" s="12">
        <f t="shared" si="113"/>
        <v>842.52</v>
      </c>
      <c r="I354" s="12">
        <f t="shared" si="114"/>
        <v>842.52</v>
      </c>
      <c r="J354" s="11">
        <v>7.2439999999999998</v>
      </c>
      <c r="K354" s="7">
        <f t="shared" si="115"/>
        <v>7.2439999999999998</v>
      </c>
      <c r="L354" s="28" t="s">
        <v>1052</v>
      </c>
      <c r="M354" s="29">
        <v>53.15</v>
      </c>
      <c r="N354" s="48">
        <f t="shared" si="116"/>
        <v>38.852649999999997</v>
      </c>
      <c r="O354" s="48">
        <f t="shared" si="117"/>
        <v>281.44859659999997</v>
      </c>
      <c r="P354" s="48">
        <f t="shared" si="118"/>
        <v>281.44859659999997</v>
      </c>
      <c r="Q354" s="48">
        <f t="shared" si="119"/>
        <v>1123.9685966</v>
      </c>
      <c r="R354" s="41">
        <f t="shared" si="120"/>
        <v>1578.1220753481998</v>
      </c>
      <c r="T354" s="143"/>
    </row>
    <row r="355" spans="2:20" ht="38.25" x14ac:dyDescent="0.2">
      <c r="B355" s="61">
        <f>IF(F355&lt;&gt;"",1+MAX($B$21:B354),"")</f>
        <v>194</v>
      </c>
      <c r="C355" s="196"/>
      <c r="D355" s="73" t="s">
        <v>469</v>
      </c>
      <c r="E355" s="14" t="s">
        <v>79</v>
      </c>
      <c r="F355" s="19">
        <v>1</v>
      </c>
      <c r="G355" s="12">
        <v>4055</v>
      </c>
      <c r="H355" s="12">
        <f t="shared" si="113"/>
        <v>3860.3599999999997</v>
      </c>
      <c r="I355" s="12">
        <f t="shared" ref="I355" si="121">F355*H355</f>
        <v>3860.3599999999997</v>
      </c>
      <c r="J355" s="11">
        <v>16.558</v>
      </c>
      <c r="K355" s="7">
        <f t="shared" ref="K355" si="122">F355*J355</f>
        <v>16.558</v>
      </c>
      <c r="L355" s="28" t="s">
        <v>1067</v>
      </c>
      <c r="M355" s="29">
        <v>51</v>
      </c>
      <c r="N355" s="48">
        <f t="shared" si="116"/>
        <v>37.280999999999999</v>
      </c>
      <c r="O355" s="48">
        <f t="shared" si="117"/>
        <v>617.29879799999992</v>
      </c>
      <c r="P355" s="48">
        <f t="shared" si="118"/>
        <v>617.29879799999992</v>
      </c>
      <c r="Q355" s="48">
        <f t="shared" si="119"/>
        <v>4477.6587979999995</v>
      </c>
      <c r="R355" s="41">
        <f t="shared" si="120"/>
        <v>6271.4920887459994</v>
      </c>
    </row>
    <row r="356" spans="2:20" x14ac:dyDescent="0.2">
      <c r="B356" s="61" t="str">
        <f>IF(F356&lt;&gt;"",1+MAX($B$21:B355),"")</f>
        <v/>
      </c>
      <c r="C356" s="196"/>
      <c r="D356" s="73"/>
      <c r="E356" s="14"/>
      <c r="F356" s="19"/>
      <c r="G356" s="48"/>
      <c r="H356" s="48">
        <f t="shared" si="113"/>
        <v>0</v>
      </c>
      <c r="I356" s="48">
        <f t="shared" si="114"/>
        <v>0</v>
      </c>
      <c r="J356" s="49"/>
      <c r="K356" s="50">
        <f t="shared" si="115"/>
        <v>0</v>
      </c>
      <c r="L356" s="50"/>
      <c r="M356" s="48"/>
      <c r="N356" s="48">
        <f t="shared" si="116"/>
        <v>0</v>
      </c>
      <c r="O356" s="48">
        <f t="shared" si="117"/>
        <v>0</v>
      </c>
      <c r="P356" s="48">
        <f t="shared" si="118"/>
        <v>0</v>
      </c>
      <c r="Q356" s="48">
        <f t="shared" si="119"/>
        <v>0</v>
      </c>
      <c r="R356" s="41">
        <f t="shared" si="120"/>
        <v>0</v>
      </c>
    </row>
    <row r="357" spans="2:20" x14ac:dyDescent="0.2">
      <c r="B357" s="61" t="str">
        <f>IF(F357&lt;&gt;"",1+MAX($B$21:B356),"")</f>
        <v/>
      </c>
      <c r="C357" s="196"/>
      <c r="D357" s="75" t="s">
        <v>471</v>
      </c>
      <c r="E357" s="14"/>
      <c r="F357" s="19"/>
      <c r="G357" s="48"/>
      <c r="H357" s="48">
        <f t="shared" si="113"/>
        <v>0</v>
      </c>
      <c r="I357" s="48">
        <f t="shared" si="114"/>
        <v>0</v>
      </c>
      <c r="J357" s="49"/>
      <c r="K357" s="50">
        <f t="shared" si="115"/>
        <v>0</v>
      </c>
      <c r="L357" s="50"/>
      <c r="M357" s="48"/>
      <c r="N357" s="48">
        <f t="shared" si="116"/>
        <v>0</v>
      </c>
      <c r="O357" s="48">
        <f t="shared" si="117"/>
        <v>0</v>
      </c>
      <c r="P357" s="48">
        <f t="shared" si="118"/>
        <v>0</v>
      </c>
      <c r="Q357" s="48">
        <f t="shared" si="119"/>
        <v>0</v>
      </c>
      <c r="R357" s="41">
        <f t="shared" si="120"/>
        <v>0</v>
      </c>
    </row>
    <row r="358" spans="2:20" ht="38.25" x14ac:dyDescent="0.2">
      <c r="B358" s="61">
        <f>IF(F358&lt;&gt;"",1+MAX($B$21:B357),"")</f>
        <v>195</v>
      </c>
      <c r="C358" s="196"/>
      <c r="D358" s="73" t="s">
        <v>472</v>
      </c>
      <c r="E358" s="14" t="s">
        <v>79</v>
      </c>
      <c r="F358" s="19">
        <v>1</v>
      </c>
      <c r="G358" s="12">
        <v>4055</v>
      </c>
      <c r="H358" s="12">
        <f t="shared" si="113"/>
        <v>3860.3599999999997</v>
      </c>
      <c r="I358" s="12">
        <f t="shared" ref="I358:I359" si="123">F358*H358</f>
        <v>3860.3599999999997</v>
      </c>
      <c r="J358" s="11">
        <v>16.558</v>
      </c>
      <c r="K358" s="7">
        <f t="shared" ref="K358:K359" si="124">F358*J358</f>
        <v>16.558</v>
      </c>
      <c r="L358" s="28" t="s">
        <v>1067</v>
      </c>
      <c r="M358" s="29">
        <v>51</v>
      </c>
      <c r="N358" s="48">
        <f t="shared" si="116"/>
        <v>37.280999999999999</v>
      </c>
      <c r="O358" s="48">
        <f t="shared" si="117"/>
        <v>617.29879799999992</v>
      </c>
      <c r="P358" s="48">
        <f t="shared" si="118"/>
        <v>617.29879799999992</v>
      </c>
      <c r="Q358" s="48">
        <f t="shared" si="119"/>
        <v>4477.6587979999995</v>
      </c>
      <c r="R358" s="41">
        <f t="shared" si="120"/>
        <v>6271.4920887459994</v>
      </c>
    </row>
    <row r="359" spans="2:20" ht="25.5" x14ac:dyDescent="0.2">
      <c r="B359" s="61">
        <f>IF(F359&lt;&gt;"",1+MAX($B$21:B358),"")</f>
        <v>196</v>
      </c>
      <c r="C359" s="197"/>
      <c r="D359" s="73" t="s">
        <v>473</v>
      </c>
      <c r="E359" s="14" t="s">
        <v>79</v>
      </c>
      <c r="F359" s="19">
        <v>1</v>
      </c>
      <c r="G359" s="12">
        <v>2030</v>
      </c>
      <c r="H359" s="12">
        <f t="shared" si="113"/>
        <v>1932.56</v>
      </c>
      <c r="I359" s="12">
        <f t="shared" si="123"/>
        <v>1932.56</v>
      </c>
      <c r="J359" s="11">
        <v>8.2789999999999999</v>
      </c>
      <c r="K359" s="7">
        <f t="shared" si="124"/>
        <v>8.2789999999999999</v>
      </c>
      <c r="L359" s="28" t="s">
        <v>1067</v>
      </c>
      <c r="M359" s="29">
        <v>51</v>
      </c>
      <c r="N359" s="48">
        <f t="shared" si="116"/>
        <v>37.280999999999999</v>
      </c>
      <c r="O359" s="48">
        <f t="shared" si="117"/>
        <v>308.64939899999996</v>
      </c>
      <c r="P359" s="48">
        <f t="shared" si="118"/>
        <v>308.64939899999996</v>
      </c>
      <c r="Q359" s="48">
        <f t="shared" si="119"/>
        <v>2241.2093989999998</v>
      </c>
      <c r="R359" s="41">
        <f t="shared" si="120"/>
        <v>3139.0694763729998</v>
      </c>
      <c r="T359" s="143"/>
    </row>
    <row r="360" spans="2:20" x14ac:dyDescent="0.2">
      <c r="B360" s="61" t="str">
        <f>IF(F360&lt;&gt;"",1+MAX($B$21:B359),"")</f>
        <v/>
      </c>
      <c r="C360" s="67"/>
      <c r="D360" s="73"/>
      <c r="E360" s="14"/>
      <c r="F360" s="19"/>
      <c r="G360" s="48"/>
      <c r="H360" s="48">
        <f t="shared" si="113"/>
        <v>0</v>
      </c>
      <c r="I360" s="48">
        <f t="shared" si="114"/>
        <v>0</v>
      </c>
      <c r="J360" s="49"/>
      <c r="K360" s="50">
        <f t="shared" si="115"/>
        <v>0</v>
      </c>
      <c r="L360" s="50"/>
      <c r="M360" s="48"/>
      <c r="N360" s="48">
        <f t="shared" si="116"/>
        <v>0</v>
      </c>
      <c r="O360" s="48">
        <f t="shared" si="117"/>
        <v>0</v>
      </c>
      <c r="P360" s="48">
        <f t="shared" si="118"/>
        <v>0</v>
      </c>
      <c r="Q360" s="48">
        <f t="shared" si="119"/>
        <v>0</v>
      </c>
      <c r="R360" s="41">
        <f t="shared" si="120"/>
        <v>0</v>
      </c>
    </row>
    <row r="361" spans="2:20" x14ac:dyDescent="0.2">
      <c r="B361" s="61" t="str">
        <f>IF(F361&lt;&gt;"",1+MAX($B$21:B360),"")</f>
        <v/>
      </c>
      <c r="C361" s="198" t="s">
        <v>320</v>
      </c>
      <c r="D361" s="75" t="s">
        <v>390</v>
      </c>
      <c r="E361" s="14"/>
      <c r="F361" s="19"/>
      <c r="G361" s="48"/>
      <c r="H361" s="48">
        <f t="shared" si="113"/>
        <v>0</v>
      </c>
      <c r="I361" s="48">
        <f t="shared" si="114"/>
        <v>0</v>
      </c>
      <c r="J361" s="49"/>
      <c r="K361" s="50">
        <f t="shared" si="115"/>
        <v>0</v>
      </c>
      <c r="L361" s="50"/>
      <c r="M361" s="48"/>
      <c r="N361" s="48">
        <f t="shared" si="116"/>
        <v>0</v>
      </c>
      <c r="O361" s="48">
        <f t="shared" si="117"/>
        <v>0</v>
      </c>
      <c r="P361" s="48">
        <f t="shared" si="118"/>
        <v>0</v>
      </c>
      <c r="Q361" s="48">
        <f t="shared" si="119"/>
        <v>0</v>
      </c>
      <c r="R361" s="41">
        <f t="shared" si="120"/>
        <v>0</v>
      </c>
    </row>
    <row r="362" spans="2:20" ht="127.5" x14ac:dyDescent="0.2">
      <c r="B362" s="61">
        <f>IF(F362&lt;&gt;"",1+MAX($B$21:B361),"")</f>
        <v>197</v>
      </c>
      <c r="C362" s="197"/>
      <c r="D362" s="73" t="s">
        <v>391</v>
      </c>
      <c r="E362" s="14" t="s">
        <v>79</v>
      </c>
      <c r="F362" s="19">
        <v>1</v>
      </c>
      <c r="G362" s="12">
        <v>1925</v>
      </c>
      <c r="H362" s="12">
        <f t="shared" si="113"/>
        <v>1832.6</v>
      </c>
      <c r="I362" s="12">
        <f t="shared" si="114"/>
        <v>1832.6</v>
      </c>
      <c r="J362" s="11">
        <v>4.8280000000000003</v>
      </c>
      <c r="K362" s="7">
        <f t="shared" si="115"/>
        <v>4.8280000000000003</v>
      </c>
      <c r="L362" s="28" t="s">
        <v>1066</v>
      </c>
      <c r="M362" s="29">
        <v>52.2</v>
      </c>
      <c r="N362" s="48">
        <f t="shared" si="116"/>
        <v>38.158200000000001</v>
      </c>
      <c r="O362" s="48">
        <f t="shared" si="117"/>
        <v>184.22778960000002</v>
      </c>
      <c r="P362" s="48">
        <f t="shared" si="118"/>
        <v>184.22778960000002</v>
      </c>
      <c r="Q362" s="48">
        <f t="shared" si="119"/>
        <v>2016.8277896</v>
      </c>
      <c r="R362" s="41">
        <f t="shared" si="120"/>
        <v>2821.9356957592004</v>
      </c>
    </row>
    <row r="363" spans="2:20" x14ac:dyDescent="0.2">
      <c r="B363" s="61" t="str">
        <f>IF(F363&lt;&gt;"",1+MAX($B$21:B362),"")</f>
        <v/>
      </c>
      <c r="C363" s="67"/>
      <c r="D363" s="73"/>
      <c r="E363" s="14"/>
      <c r="F363" s="19"/>
      <c r="G363" s="48"/>
      <c r="H363" s="48">
        <f t="shared" si="113"/>
        <v>0</v>
      </c>
      <c r="I363" s="48">
        <f t="shared" si="114"/>
        <v>0</v>
      </c>
      <c r="J363" s="49"/>
      <c r="K363" s="50">
        <f t="shared" si="115"/>
        <v>0</v>
      </c>
      <c r="L363" s="50"/>
      <c r="M363" s="48"/>
      <c r="N363" s="48">
        <f t="shared" si="116"/>
        <v>0</v>
      </c>
      <c r="O363" s="48">
        <f t="shared" si="117"/>
        <v>0</v>
      </c>
      <c r="P363" s="48">
        <f t="shared" si="118"/>
        <v>0</v>
      </c>
      <c r="Q363" s="48">
        <f t="shared" si="119"/>
        <v>0</v>
      </c>
      <c r="R363" s="41">
        <f t="shared" si="120"/>
        <v>0</v>
      </c>
    </row>
    <row r="364" spans="2:20" x14ac:dyDescent="0.2">
      <c r="B364" s="63" t="str">
        <f>IF(F364&lt;&gt;"",1+MAX($B$21:B363),"")</f>
        <v/>
      </c>
      <c r="C364" s="69"/>
      <c r="D364" s="77" t="s">
        <v>82</v>
      </c>
      <c r="E364" s="14"/>
      <c r="F364" s="19"/>
      <c r="G364" s="48"/>
      <c r="H364" s="48">
        <f t="shared" si="113"/>
        <v>0</v>
      </c>
      <c r="I364" s="48">
        <f t="shared" si="114"/>
        <v>0</v>
      </c>
      <c r="J364" s="49"/>
      <c r="K364" s="50">
        <f t="shared" si="115"/>
        <v>0</v>
      </c>
      <c r="L364" s="50"/>
      <c r="M364" s="48"/>
      <c r="N364" s="48">
        <f t="shared" si="116"/>
        <v>0</v>
      </c>
      <c r="O364" s="48">
        <f t="shared" si="117"/>
        <v>0</v>
      </c>
      <c r="P364" s="48">
        <f t="shared" si="118"/>
        <v>0</v>
      </c>
      <c r="Q364" s="48">
        <f t="shared" si="119"/>
        <v>0</v>
      </c>
      <c r="R364" s="41">
        <f t="shared" si="120"/>
        <v>0</v>
      </c>
    </row>
    <row r="365" spans="2:20" ht="306" x14ac:dyDescent="0.2">
      <c r="B365" s="61">
        <f>IF(F365&lt;&gt;"",1+MAX($B$21:B364),"")</f>
        <v>198</v>
      </c>
      <c r="C365" s="195" t="s">
        <v>148</v>
      </c>
      <c r="D365" s="78" t="s">
        <v>474</v>
      </c>
      <c r="E365" s="14" t="s">
        <v>79</v>
      </c>
      <c r="F365" s="19">
        <v>1</v>
      </c>
      <c r="G365" s="48">
        <v>9855</v>
      </c>
      <c r="H365" s="48">
        <f t="shared" si="113"/>
        <v>9381.9599999999991</v>
      </c>
      <c r="I365" s="48">
        <f t="shared" si="114"/>
        <v>9381.9599999999991</v>
      </c>
      <c r="J365" s="49">
        <v>6</v>
      </c>
      <c r="K365" s="50">
        <f t="shared" si="115"/>
        <v>6</v>
      </c>
      <c r="L365" s="50" t="s">
        <v>1052</v>
      </c>
      <c r="M365" s="48">
        <v>53.15</v>
      </c>
      <c r="N365" s="48">
        <f t="shared" si="116"/>
        <v>38.852649999999997</v>
      </c>
      <c r="O365" s="48">
        <f t="shared" si="117"/>
        <v>233.11589999999998</v>
      </c>
      <c r="P365" s="48">
        <f t="shared" si="118"/>
        <v>233.11589999999998</v>
      </c>
      <c r="Q365" s="48">
        <f t="shared" si="119"/>
        <v>9615.0758999999998</v>
      </c>
      <c r="R365" s="41">
        <f t="shared" si="120"/>
        <v>13433.6253333</v>
      </c>
      <c r="T365" s="2"/>
    </row>
    <row r="366" spans="2:20" ht="191.25" x14ac:dyDescent="0.2">
      <c r="B366" s="61">
        <f>IF(F366&lt;&gt;"",1+MAX($B$21:B365),"")</f>
        <v>199</v>
      </c>
      <c r="C366" s="195"/>
      <c r="D366" s="78" t="s">
        <v>475</v>
      </c>
      <c r="E366" s="14" t="s">
        <v>79</v>
      </c>
      <c r="F366" s="19">
        <v>1</v>
      </c>
      <c r="G366" s="48">
        <v>2480</v>
      </c>
      <c r="H366" s="48">
        <f t="shared" si="113"/>
        <v>2360.96</v>
      </c>
      <c r="I366" s="48">
        <f t="shared" si="114"/>
        <v>2360.96</v>
      </c>
      <c r="J366" s="49">
        <v>3.5</v>
      </c>
      <c r="K366" s="50">
        <f t="shared" si="115"/>
        <v>3.5</v>
      </c>
      <c r="L366" s="50" t="s">
        <v>1052</v>
      </c>
      <c r="M366" s="48">
        <v>53.15</v>
      </c>
      <c r="N366" s="48">
        <f t="shared" si="116"/>
        <v>38.852649999999997</v>
      </c>
      <c r="O366" s="48">
        <f t="shared" si="117"/>
        <v>135.984275</v>
      </c>
      <c r="P366" s="48">
        <f t="shared" si="118"/>
        <v>135.984275</v>
      </c>
      <c r="Q366" s="48">
        <f t="shared" si="119"/>
        <v>2496.9442749999998</v>
      </c>
      <c r="R366" s="41">
        <f t="shared" si="120"/>
        <v>3490.894104425</v>
      </c>
      <c r="T366" s="2"/>
    </row>
    <row r="367" spans="2:20" ht="165.75" x14ac:dyDescent="0.2">
      <c r="B367" s="61">
        <f>IF(F367&lt;&gt;"",1+MAX($B$21:B366),"")</f>
        <v>200</v>
      </c>
      <c r="C367" s="195"/>
      <c r="D367" s="78" t="s">
        <v>476</v>
      </c>
      <c r="E367" s="14" t="s">
        <v>79</v>
      </c>
      <c r="F367" s="19">
        <v>1</v>
      </c>
      <c r="G367" s="48">
        <v>4360</v>
      </c>
      <c r="H367" s="48">
        <f t="shared" si="113"/>
        <v>4150.72</v>
      </c>
      <c r="I367" s="48">
        <f t="shared" si="114"/>
        <v>4150.72</v>
      </c>
      <c r="J367" s="49">
        <v>4</v>
      </c>
      <c r="K367" s="50">
        <f t="shared" si="115"/>
        <v>4</v>
      </c>
      <c r="L367" s="50" t="s">
        <v>1052</v>
      </c>
      <c r="M367" s="48">
        <v>53.15</v>
      </c>
      <c r="N367" s="48">
        <f t="shared" si="116"/>
        <v>38.852649999999997</v>
      </c>
      <c r="O367" s="48">
        <f t="shared" si="117"/>
        <v>155.41059999999999</v>
      </c>
      <c r="P367" s="48">
        <f t="shared" si="118"/>
        <v>155.41059999999999</v>
      </c>
      <c r="Q367" s="48">
        <f t="shared" si="119"/>
        <v>4306.1306000000004</v>
      </c>
      <c r="R367" s="41">
        <f t="shared" si="120"/>
        <v>6017.8363342000002</v>
      </c>
      <c r="T367" s="2"/>
    </row>
    <row r="368" spans="2:20" ht="216.75" x14ac:dyDescent="0.2">
      <c r="B368" s="61">
        <f>IF(F368&lt;&gt;"",1+MAX($B$21:B367),"")</f>
        <v>201</v>
      </c>
      <c r="C368" s="195"/>
      <c r="D368" s="78" t="s">
        <v>477</v>
      </c>
      <c r="E368" s="14" t="s">
        <v>79</v>
      </c>
      <c r="F368" s="19">
        <v>1</v>
      </c>
      <c r="G368" s="48">
        <v>1457</v>
      </c>
      <c r="H368" s="48">
        <f t="shared" si="113"/>
        <v>1387.0639999999999</v>
      </c>
      <c r="I368" s="48">
        <f t="shared" si="114"/>
        <v>1387.0639999999999</v>
      </c>
      <c r="J368" s="49">
        <v>4</v>
      </c>
      <c r="K368" s="50">
        <f t="shared" si="115"/>
        <v>4</v>
      </c>
      <c r="L368" s="50" t="s">
        <v>1052</v>
      </c>
      <c r="M368" s="48">
        <v>53.15</v>
      </c>
      <c r="N368" s="48">
        <f t="shared" si="116"/>
        <v>38.852649999999997</v>
      </c>
      <c r="O368" s="48">
        <f t="shared" si="117"/>
        <v>155.41059999999999</v>
      </c>
      <c r="P368" s="48">
        <f t="shared" si="118"/>
        <v>155.41059999999999</v>
      </c>
      <c r="Q368" s="48">
        <f t="shared" si="119"/>
        <v>1542.4745999999998</v>
      </c>
      <c r="R368" s="41">
        <f t="shared" si="120"/>
        <v>2158.6670957999995</v>
      </c>
      <c r="T368" s="2"/>
    </row>
    <row r="369" spans="2:20" ht="153" x14ac:dyDescent="0.2">
      <c r="B369" s="61">
        <f>IF(F369&lt;&gt;"",1+MAX($B$21:B368),"")</f>
        <v>202</v>
      </c>
      <c r="C369" s="195"/>
      <c r="D369" s="78" t="s">
        <v>478</v>
      </c>
      <c r="E369" s="14" t="s">
        <v>79</v>
      </c>
      <c r="F369" s="19">
        <v>1</v>
      </c>
      <c r="G369" s="48">
        <v>1307</v>
      </c>
      <c r="H369" s="48">
        <f t="shared" si="113"/>
        <v>1244.2639999999999</v>
      </c>
      <c r="I369" s="48">
        <f t="shared" si="114"/>
        <v>1244.2639999999999</v>
      </c>
      <c r="J369" s="49">
        <v>4</v>
      </c>
      <c r="K369" s="50">
        <f t="shared" si="115"/>
        <v>4</v>
      </c>
      <c r="L369" s="50" t="s">
        <v>1052</v>
      </c>
      <c r="M369" s="48">
        <v>53.15</v>
      </c>
      <c r="N369" s="48">
        <f t="shared" si="116"/>
        <v>38.852649999999997</v>
      </c>
      <c r="O369" s="48">
        <f t="shared" si="117"/>
        <v>155.41059999999999</v>
      </c>
      <c r="P369" s="48">
        <f t="shared" si="118"/>
        <v>155.41059999999999</v>
      </c>
      <c r="Q369" s="48">
        <f t="shared" si="119"/>
        <v>1399.6745999999998</v>
      </c>
      <c r="R369" s="41">
        <f t="shared" si="120"/>
        <v>1959.2611758</v>
      </c>
      <c r="T369" s="2"/>
    </row>
    <row r="370" spans="2:20" ht="178.5" x14ac:dyDescent="0.2">
      <c r="B370" s="61">
        <f>IF(F370&lt;&gt;"",1+MAX($B$21:B369),"")</f>
        <v>203</v>
      </c>
      <c r="C370" s="195"/>
      <c r="D370" s="78" t="s">
        <v>479</v>
      </c>
      <c r="E370" s="14" t="s">
        <v>79</v>
      </c>
      <c r="F370" s="19">
        <v>1</v>
      </c>
      <c r="G370" s="48">
        <v>1097</v>
      </c>
      <c r="H370" s="48">
        <f t="shared" si="113"/>
        <v>1044.3440000000001</v>
      </c>
      <c r="I370" s="48">
        <f t="shared" si="114"/>
        <v>1044.3440000000001</v>
      </c>
      <c r="J370" s="49">
        <v>3</v>
      </c>
      <c r="K370" s="50">
        <f t="shared" si="115"/>
        <v>3</v>
      </c>
      <c r="L370" s="50" t="s">
        <v>1052</v>
      </c>
      <c r="M370" s="48">
        <v>53.15</v>
      </c>
      <c r="N370" s="48">
        <f t="shared" si="116"/>
        <v>38.852649999999997</v>
      </c>
      <c r="O370" s="48">
        <f t="shared" si="117"/>
        <v>116.55794999999999</v>
      </c>
      <c r="P370" s="48">
        <f t="shared" si="118"/>
        <v>116.55794999999999</v>
      </c>
      <c r="Q370" s="48">
        <f t="shared" si="119"/>
        <v>1160.9019499999999</v>
      </c>
      <c r="R370" s="41">
        <f t="shared" si="120"/>
        <v>1624.6501562499998</v>
      </c>
      <c r="T370" s="2"/>
    </row>
    <row r="371" spans="2:20" ht="89.25" x14ac:dyDescent="0.2">
      <c r="B371" s="61">
        <f>IF(F371&lt;&gt;"",1+MAX($B$21:B370),"")</f>
        <v>204</v>
      </c>
      <c r="C371" s="195"/>
      <c r="D371" s="78" t="s">
        <v>480</v>
      </c>
      <c r="E371" s="14" t="s">
        <v>79</v>
      </c>
      <c r="F371" s="19">
        <v>1</v>
      </c>
      <c r="G371" s="48">
        <v>462</v>
      </c>
      <c r="H371" s="48">
        <f t="shared" si="113"/>
        <v>439.82399999999996</v>
      </c>
      <c r="I371" s="48">
        <f t="shared" si="114"/>
        <v>439.82399999999996</v>
      </c>
      <c r="J371" s="49">
        <v>2</v>
      </c>
      <c r="K371" s="50">
        <f t="shared" si="115"/>
        <v>2</v>
      </c>
      <c r="L371" s="50" t="s">
        <v>1052</v>
      </c>
      <c r="M371" s="48">
        <v>53.15</v>
      </c>
      <c r="N371" s="48">
        <f t="shared" si="116"/>
        <v>38.852649999999997</v>
      </c>
      <c r="O371" s="48">
        <f t="shared" si="117"/>
        <v>77.705299999999994</v>
      </c>
      <c r="P371" s="48">
        <f t="shared" si="118"/>
        <v>77.705299999999994</v>
      </c>
      <c r="Q371" s="48">
        <f t="shared" si="119"/>
        <v>517.52929999999992</v>
      </c>
      <c r="R371" s="41">
        <f t="shared" si="120"/>
        <v>725.05569669999988</v>
      </c>
      <c r="T371" s="2"/>
    </row>
    <row r="372" spans="2:20" ht="127.5" x14ac:dyDescent="0.2">
      <c r="B372" s="61">
        <f>IF(F372&lt;&gt;"",1+MAX($B$21:B371),"")</f>
        <v>205</v>
      </c>
      <c r="C372" s="195"/>
      <c r="D372" s="78" t="s">
        <v>481</v>
      </c>
      <c r="E372" s="14" t="s">
        <v>79</v>
      </c>
      <c r="F372" s="19">
        <v>2</v>
      </c>
      <c r="G372" s="48">
        <v>837</v>
      </c>
      <c r="H372" s="48">
        <f t="shared" si="113"/>
        <v>796.82399999999996</v>
      </c>
      <c r="I372" s="48">
        <f t="shared" si="114"/>
        <v>1593.6479999999999</v>
      </c>
      <c r="J372" s="49">
        <v>2.5</v>
      </c>
      <c r="K372" s="50">
        <f t="shared" si="115"/>
        <v>5</v>
      </c>
      <c r="L372" s="50" t="s">
        <v>1052</v>
      </c>
      <c r="M372" s="48">
        <v>53.15</v>
      </c>
      <c r="N372" s="48">
        <f t="shared" si="116"/>
        <v>38.852649999999997</v>
      </c>
      <c r="O372" s="48">
        <f t="shared" si="117"/>
        <v>97.131624999999985</v>
      </c>
      <c r="P372" s="48">
        <f t="shared" si="118"/>
        <v>194.26324999999997</v>
      </c>
      <c r="Q372" s="48">
        <f t="shared" si="119"/>
        <v>1787.9112499999999</v>
      </c>
      <c r="R372" s="41">
        <f t="shared" si="120"/>
        <v>2502.5837249499996</v>
      </c>
      <c r="T372" s="2"/>
    </row>
    <row r="373" spans="2:20" ht="38.25" x14ac:dyDescent="0.2">
      <c r="B373" s="61">
        <f>IF(F373&lt;&gt;"",1+MAX($B$21:B372),"")</f>
        <v>206</v>
      </c>
      <c r="C373" s="195"/>
      <c r="D373" s="78" t="s">
        <v>482</v>
      </c>
      <c r="E373" s="14" t="s">
        <v>79</v>
      </c>
      <c r="F373" s="19">
        <v>1</v>
      </c>
      <c r="G373" s="48">
        <v>1680</v>
      </c>
      <c r="H373" s="48">
        <f t="shared" si="113"/>
        <v>1599.36</v>
      </c>
      <c r="I373" s="48">
        <f t="shared" si="114"/>
        <v>1599.36</v>
      </c>
      <c r="J373" s="49">
        <v>2.5</v>
      </c>
      <c r="K373" s="50">
        <f t="shared" si="115"/>
        <v>2.5</v>
      </c>
      <c r="L373" s="50" t="s">
        <v>1052</v>
      </c>
      <c r="M373" s="48">
        <v>53.15</v>
      </c>
      <c r="N373" s="48">
        <f t="shared" si="116"/>
        <v>38.852649999999997</v>
      </c>
      <c r="O373" s="48">
        <f t="shared" si="117"/>
        <v>97.131624999999985</v>
      </c>
      <c r="P373" s="48">
        <f t="shared" si="118"/>
        <v>97.131624999999985</v>
      </c>
      <c r="Q373" s="48">
        <f t="shared" si="119"/>
        <v>1696.4916249999999</v>
      </c>
      <c r="R373" s="41">
        <f t="shared" si="120"/>
        <v>2371.9531328749999</v>
      </c>
      <c r="T373" s="2"/>
    </row>
    <row r="374" spans="2:20" x14ac:dyDescent="0.2">
      <c r="B374" s="61" t="str">
        <f>IF(F374&lt;&gt;"",1+MAX($B$21:B373),"")</f>
        <v/>
      </c>
      <c r="C374" s="67"/>
      <c r="D374" s="73"/>
      <c r="E374" s="14"/>
      <c r="F374" s="19"/>
      <c r="G374" s="48"/>
      <c r="H374" s="48">
        <f t="shared" si="113"/>
        <v>0</v>
      </c>
      <c r="I374" s="48">
        <f t="shared" si="114"/>
        <v>0</v>
      </c>
      <c r="J374" s="49"/>
      <c r="K374" s="50">
        <f t="shared" si="115"/>
        <v>0</v>
      </c>
      <c r="L374" s="50"/>
      <c r="M374" s="48"/>
      <c r="N374" s="48">
        <f t="shared" si="116"/>
        <v>0</v>
      </c>
      <c r="O374" s="48">
        <f t="shared" si="117"/>
        <v>0</v>
      </c>
      <c r="P374" s="48">
        <f t="shared" si="118"/>
        <v>0</v>
      </c>
      <c r="Q374" s="48">
        <f t="shared" si="119"/>
        <v>0</v>
      </c>
      <c r="R374" s="41">
        <f t="shared" si="120"/>
        <v>0</v>
      </c>
    </row>
    <row r="375" spans="2:20" x14ac:dyDescent="0.2">
      <c r="B375" s="63" t="str">
        <f>IF(F375&lt;&gt;"",1+MAX($B$21:B374),"")</f>
        <v/>
      </c>
      <c r="C375" s="69"/>
      <c r="D375" s="77" t="s">
        <v>324</v>
      </c>
      <c r="E375" s="14"/>
      <c r="F375" s="19"/>
      <c r="G375" s="48"/>
      <c r="H375" s="48">
        <f t="shared" si="113"/>
        <v>0</v>
      </c>
      <c r="I375" s="48">
        <f t="shared" si="114"/>
        <v>0</v>
      </c>
      <c r="J375" s="49"/>
      <c r="K375" s="50">
        <f t="shared" si="115"/>
        <v>0</v>
      </c>
      <c r="L375" s="50"/>
      <c r="M375" s="48"/>
      <c r="N375" s="48">
        <f t="shared" si="116"/>
        <v>0</v>
      </c>
      <c r="O375" s="48">
        <f t="shared" si="117"/>
        <v>0</v>
      </c>
      <c r="P375" s="48">
        <f t="shared" si="118"/>
        <v>0</v>
      </c>
      <c r="Q375" s="48">
        <f t="shared" si="119"/>
        <v>0</v>
      </c>
      <c r="R375" s="41">
        <f t="shared" si="120"/>
        <v>0</v>
      </c>
    </row>
    <row r="376" spans="2:20" ht="25.5" x14ac:dyDescent="0.2">
      <c r="B376" s="61">
        <f>IF(F376&lt;&gt;"",1+MAX($B$21:B375),"")</f>
        <v>207</v>
      </c>
      <c r="C376" s="67"/>
      <c r="D376" s="78" t="s">
        <v>325</v>
      </c>
      <c r="E376" s="14" t="s">
        <v>74</v>
      </c>
      <c r="F376" s="19">
        <v>3.82</v>
      </c>
      <c r="G376" s="12">
        <v>21</v>
      </c>
      <c r="H376" s="12">
        <f t="shared" si="113"/>
        <v>19.991999999999997</v>
      </c>
      <c r="I376" s="12">
        <f t="shared" si="114"/>
        <v>76.369439999999983</v>
      </c>
      <c r="J376" s="11">
        <v>6.7000000000000004E-2</v>
      </c>
      <c r="K376" s="7">
        <f t="shared" si="115"/>
        <v>0.25594</v>
      </c>
      <c r="L376" s="28" t="s">
        <v>1069</v>
      </c>
      <c r="M376" s="29">
        <v>57.65</v>
      </c>
      <c r="N376" s="48">
        <f t="shared" si="116"/>
        <v>42.142150000000001</v>
      </c>
      <c r="O376" s="48">
        <f t="shared" si="117"/>
        <v>2.8235240500000001</v>
      </c>
      <c r="P376" s="48">
        <f t="shared" si="118"/>
        <v>10.785861871</v>
      </c>
      <c r="Q376" s="48">
        <f t="shared" si="119"/>
        <v>87.155301870999978</v>
      </c>
      <c r="R376" s="41">
        <f t="shared" si="120"/>
        <v>122.03371090591698</v>
      </c>
    </row>
    <row r="377" spans="2:20" x14ac:dyDescent="0.2">
      <c r="B377" s="61" t="str">
        <f>IF(F377&lt;&gt;"",1+MAX($B$21:B376),"")</f>
        <v/>
      </c>
      <c r="C377" s="67"/>
      <c r="D377" s="73"/>
      <c r="E377" s="14"/>
      <c r="F377" s="19"/>
      <c r="G377" s="48"/>
      <c r="H377" s="48">
        <f t="shared" si="113"/>
        <v>0</v>
      </c>
      <c r="I377" s="48">
        <f t="shared" si="114"/>
        <v>0</v>
      </c>
      <c r="J377" s="49"/>
      <c r="K377" s="50">
        <f t="shared" si="115"/>
        <v>0</v>
      </c>
      <c r="L377" s="50"/>
      <c r="M377" s="48"/>
      <c r="N377" s="48">
        <f t="shared" si="116"/>
        <v>0</v>
      </c>
      <c r="O377" s="48">
        <f t="shared" si="117"/>
        <v>0</v>
      </c>
      <c r="P377" s="48">
        <f t="shared" si="118"/>
        <v>0</v>
      </c>
      <c r="Q377" s="48">
        <f t="shared" si="119"/>
        <v>0</v>
      </c>
      <c r="R377" s="41">
        <f t="shared" si="120"/>
        <v>0</v>
      </c>
    </row>
    <row r="378" spans="2:20" x14ac:dyDescent="0.2">
      <c r="B378" s="63" t="str">
        <f>IF(F378&lt;&gt;"",1+MAX($B$21:B377),"")</f>
        <v/>
      </c>
      <c r="C378" s="69"/>
      <c r="D378" s="77" t="s">
        <v>483</v>
      </c>
      <c r="E378" s="14"/>
      <c r="F378" s="19"/>
      <c r="G378" s="48"/>
      <c r="H378" s="48">
        <f t="shared" si="113"/>
        <v>0</v>
      </c>
      <c r="I378" s="48">
        <f t="shared" si="114"/>
        <v>0</v>
      </c>
      <c r="J378" s="49"/>
      <c r="K378" s="50">
        <f t="shared" si="115"/>
        <v>0</v>
      </c>
      <c r="L378" s="50"/>
      <c r="M378" s="48"/>
      <c r="N378" s="48">
        <f t="shared" si="116"/>
        <v>0</v>
      </c>
      <c r="O378" s="48">
        <f t="shared" si="117"/>
        <v>0</v>
      </c>
      <c r="P378" s="48">
        <f t="shared" si="118"/>
        <v>0</v>
      </c>
      <c r="Q378" s="48">
        <f t="shared" si="119"/>
        <v>0</v>
      </c>
      <c r="R378" s="41">
        <f t="shared" si="120"/>
        <v>0</v>
      </c>
    </row>
    <row r="379" spans="2:20" x14ac:dyDescent="0.2">
      <c r="B379" s="61">
        <f>IF(F379&lt;&gt;"",1+MAX($B$21:B378),"")</f>
        <v>208</v>
      </c>
      <c r="C379" s="198" t="s">
        <v>495</v>
      </c>
      <c r="D379" s="78" t="s">
        <v>494</v>
      </c>
      <c r="E379" s="14" t="s">
        <v>79</v>
      </c>
      <c r="F379" s="19">
        <v>1</v>
      </c>
      <c r="G379" s="12">
        <v>3343</v>
      </c>
      <c r="H379" s="12">
        <f t="shared" si="113"/>
        <v>3182.5360000000001</v>
      </c>
      <c r="I379" s="12">
        <f t="shared" si="114"/>
        <v>3182.5360000000001</v>
      </c>
      <c r="J379" s="11">
        <v>12.44</v>
      </c>
      <c r="K379" s="7">
        <f t="shared" si="115"/>
        <v>12.44</v>
      </c>
      <c r="L379" s="28" t="s">
        <v>1069</v>
      </c>
      <c r="M379" s="29">
        <v>57.65</v>
      </c>
      <c r="N379" s="48">
        <f t="shared" si="116"/>
        <v>42.142150000000001</v>
      </c>
      <c r="O379" s="48">
        <f t="shared" si="117"/>
        <v>524.24834599999997</v>
      </c>
      <c r="P379" s="48">
        <f t="shared" si="118"/>
        <v>524.24834599999997</v>
      </c>
      <c r="Q379" s="48">
        <f t="shared" si="119"/>
        <v>3706.7843459999999</v>
      </c>
      <c r="R379" s="41">
        <f t="shared" si="120"/>
        <v>5192.1956601419997</v>
      </c>
    </row>
    <row r="380" spans="2:20" x14ac:dyDescent="0.2">
      <c r="B380" s="61">
        <f>IF(F380&lt;&gt;"",1+MAX($B$21:B379),"")</f>
        <v>209</v>
      </c>
      <c r="C380" s="196"/>
      <c r="D380" s="78" t="s">
        <v>488</v>
      </c>
      <c r="E380" s="14" t="s">
        <v>79</v>
      </c>
      <c r="F380" s="19">
        <v>1</v>
      </c>
      <c r="G380" s="12">
        <v>1892</v>
      </c>
      <c r="H380" s="12">
        <f t="shared" si="113"/>
        <v>1801.184</v>
      </c>
      <c r="I380" s="12">
        <f t="shared" si="114"/>
        <v>1801.184</v>
      </c>
      <c r="J380" s="11">
        <v>7.04</v>
      </c>
      <c r="K380" s="7">
        <f t="shared" si="115"/>
        <v>7.04</v>
      </c>
      <c r="L380" s="28" t="s">
        <v>1069</v>
      </c>
      <c r="M380" s="29">
        <v>57.65</v>
      </c>
      <c r="N380" s="48">
        <f t="shared" si="116"/>
        <v>42.142150000000001</v>
      </c>
      <c r="O380" s="48">
        <f t="shared" si="117"/>
        <v>296.68073600000002</v>
      </c>
      <c r="P380" s="48">
        <f t="shared" si="118"/>
        <v>296.68073600000002</v>
      </c>
      <c r="Q380" s="48">
        <f t="shared" si="119"/>
        <v>2097.864736</v>
      </c>
      <c r="R380" s="41">
        <f t="shared" si="120"/>
        <v>2938.5367478719995</v>
      </c>
    </row>
    <row r="381" spans="2:20" x14ac:dyDescent="0.2">
      <c r="B381" s="61">
        <f>IF(F381&lt;&gt;"",1+MAX($B$21:B380),"")</f>
        <v>210</v>
      </c>
      <c r="C381" s="196"/>
      <c r="D381" s="78" t="s">
        <v>489</v>
      </c>
      <c r="E381" s="14" t="s">
        <v>79</v>
      </c>
      <c r="F381" s="19">
        <v>1</v>
      </c>
      <c r="G381" s="12">
        <v>1605</v>
      </c>
      <c r="H381" s="12">
        <f t="shared" si="113"/>
        <v>1527.96</v>
      </c>
      <c r="I381" s="12">
        <f t="shared" si="114"/>
        <v>1527.96</v>
      </c>
      <c r="J381" s="11">
        <v>5.9729999999999999</v>
      </c>
      <c r="K381" s="7">
        <f t="shared" si="115"/>
        <v>5.9729999999999999</v>
      </c>
      <c r="L381" s="28" t="s">
        <v>1069</v>
      </c>
      <c r="M381" s="29">
        <v>57.65</v>
      </c>
      <c r="N381" s="48">
        <f t="shared" si="116"/>
        <v>42.142150000000001</v>
      </c>
      <c r="O381" s="48">
        <f t="shared" si="117"/>
        <v>251.71506195000001</v>
      </c>
      <c r="P381" s="48">
        <f t="shared" si="118"/>
        <v>251.71506195000001</v>
      </c>
      <c r="Q381" s="48">
        <f t="shared" si="119"/>
        <v>1779.6750619500001</v>
      </c>
      <c r="R381" s="41">
        <f t="shared" si="120"/>
        <v>2492.8407374026501</v>
      </c>
    </row>
    <row r="382" spans="2:20" x14ac:dyDescent="0.2">
      <c r="B382" s="61">
        <f>IF(F382&lt;&gt;"",1+MAX($B$21:B381),"")</f>
        <v>211</v>
      </c>
      <c r="C382" s="196"/>
      <c r="D382" s="78" t="s">
        <v>490</v>
      </c>
      <c r="E382" s="14" t="s">
        <v>79</v>
      </c>
      <c r="F382" s="19">
        <v>2</v>
      </c>
      <c r="G382" s="12">
        <v>946</v>
      </c>
      <c r="H382" s="12">
        <f t="shared" si="113"/>
        <v>900.59199999999998</v>
      </c>
      <c r="I382" s="12">
        <f t="shared" si="114"/>
        <v>1801.184</v>
      </c>
      <c r="J382" s="11">
        <v>3.52</v>
      </c>
      <c r="K382" s="7">
        <f t="shared" si="115"/>
        <v>7.04</v>
      </c>
      <c r="L382" s="28" t="s">
        <v>1069</v>
      </c>
      <c r="M382" s="29">
        <v>57.65</v>
      </c>
      <c r="N382" s="48">
        <f t="shared" si="116"/>
        <v>42.142150000000001</v>
      </c>
      <c r="O382" s="48">
        <f t="shared" si="117"/>
        <v>148.34036800000001</v>
      </c>
      <c r="P382" s="48">
        <f t="shared" si="118"/>
        <v>296.68073600000002</v>
      </c>
      <c r="Q382" s="48">
        <f t="shared" si="119"/>
        <v>2097.864736</v>
      </c>
      <c r="R382" s="41">
        <f t="shared" si="120"/>
        <v>2938.5367478719995</v>
      </c>
    </row>
    <row r="383" spans="2:20" x14ac:dyDescent="0.2">
      <c r="B383" s="61">
        <f>IF(F383&lt;&gt;"",1+MAX($B$21:B382),"")</f>
        <v>212</v>
      </c>
      <c r="C383" s="196"/>
      <c r="D383" s="78" t="s">
        <v>491</v>
      </c>
      <c r="E383" s="14" t="s">
        <v>79</v>
      </c>
      <c r="F383" s="19">
        <v>1</v>
      </c>
      <c r="G383" s="12">
        <v>2675</v>
      </c>
      <c r="H383" s="12">
        <f t="shared" si="113"/>
        <v>2546.6</v>
      </c>
      <c r="I383" s="12">
        <f t="shared" si="114"/>
        <v>2546.6</v>
      </c>
      <c r="J383" s="11">
        <v>9.9550000000000001</v>
      </c>
      <c r="K383" s="7">
        <f t="shared" si="115"/>
        <v>9.9550000000000001</v>
      </c>
      <c r="L383" s="28" t="s">
        <v>1069</v>
      </c>
      <c r="M383" s="29">
        <v>57.65</v>
      </c>
      <c r="N383" s="48">
        <f t="shared" si="116"/>
        <v>42.142150000000001</v>
      </c>
      <c r="O383" s="48">
        <f t="shared" si="117"/>
        <v>419.52510325000003</v>
      </c>
      <c r="P383" s="48">
        <f t="shared" si="118"/>
        <v>419.52510325000003</v>
      </c>
      <c r="Q383" s="48">
        <f t="shared" si="119"/>
        <v>2966.1251032499999</v>
      </c>
      <c r="R383" s="41">
        <f t="shared" si="120"/>
        <v>4154.7345623377496</v>
      </c>
    </row>
    <row r="384" spans="2:20" x14ac:dyDescent="0.2">
      <c r="B384" s="61">
        <f>IF(F384&lt;&gt;"",1+MAX($B$21:B383),"")</f>
        <v>213</v>
      </c>
      <c r="C384" s="196"/>
      <c r="D384" s="78" t="s">
        <v>492</v>
      </c>
      <c r="E384" s="14" t="s">
        <v>79</v>
      </c>
      <c r="F384" s="19">
        <v>1</v>
      </c>
      <c r="G384" s="12">
        <v>2809</v>
      </c>
      <c r="H384" s="12">
        <f t="shared" si="113"/>
        <v>2674.1679999999997</v>
      </c>
      <c r="I384" s="12">
        <f t="shared" si="114"/>
        <v>2674.1679999999997</v>
      </c>
      <c r="J384" s="11">
        <v>10.452999999999999</v>
      </c>
      <c r="K384" s="7">
        <f t="shared" si="115"/>
        <v>10.452999999999999</v>
      </c>
      <c r="L384" s="28" t="s">
        <v>1069</v>
      </c>
      <c r="M384" s="29">
        <v>57.65</v>
      </c>
      <c r="N384" s="48">
        <f t="shared" si="116"/>
        <v>42.142150000000001</v>
      </c>
      <c r="O384" s="48">
        <f t="shared" si="117"/>
        <v>440.51189395</v>
      </c>
      <c r="P384" s="48">
        <f t="shared" si="118"/>
        <v>440.51189395</v>
      </c>
      <c r="Q384" s="48">
        <f t="shared" si="119"/>
        <v>3114.6798939499995</v>
      </c>
      <c r="R384" s="41">
        <f t="shared" si="120"/>
        <v>4362.8186678666498</v>
      </c>
    </row>
    <row r="385" spans="2:19" ht="25.5" x14ac:dyDescent="0.2">
      <c r="B385" s="61" t="str">
        <f>IF(F385&lt;&gt;"",1+MAX($B$21:B384),"")</f>
        <v/>
      </c>
      <c r="C385" s="197"/>
      <c r="D385" s="138" t="s">
        <v>493</v>
      </c>
      <c r="E385" s="14"/>
      <c r="F385" s="19"/>
      <c r="G385" s="48"/>
      <c r="H385" s="48">
        <f t="shared" si="113"/>
        <v>0</v>
      </c>
      <c r="I385" s="48">
        <f t="shared" si="114"/>
        <v>0</v>
      </c>
      <c r="J385" s="49"/>
      <c r="K385" s="50">
        <f t="shared" si="115"/>
        <v>0</v>
      </c>
      <c r="L385" s="50"/>
      <c r="M385" s="48"/>
      <c r="N385" s="48">
        <f t="shared" si="116"/>
        <v>0</v>
      </c>
      <c r="O385" s="48">
        <f t="shared" si="117"/>
        <v>0</v>
      </c>
      <c r="P385" s="48">
        <f t="shared" si="118"/>
        <v>0</v>
      </c>
      <c r="Q385" s="48">
        <f t="shared" si="119"/>
        <v>0</v>
      </c>
      <c r="R385" s="41">
        <f t="shared" si="120"/>
        <v>0</v>
      </c>
    </row>
    <row r="386" spans="2:19" x14ac:dyDescent="0.2">
      <c r="B386" s="61" t="str">
        <f>IF(F386&lt;&gt;"",1+MAX($B$21:B385),"")</f>
        <v/>
      </c>
      <c r="C386" s="67"/>
      <c r="D386" s="78"/>
      <c r="E386" s="14"/>
      <c r="F386" s="19"/>
      <c r="G386" s="48"/>
      <c r="H386" s="48">
        <f t="shared" si="113"/>
        <v>0</v>
      </c>
      <c r="I386" s="48">
        <f t="shared" si="114"/>
        <v>0</v>
      </c>
      <c r="J386" s="49"/>
      <c r="K386" s="50">
        <f t="shared" si="115"/>
        <v>0</v>
      </c>
      <c r="L386" s="50"/>
      <c r="M386" s="48"/>
      <c r="N386" s="48">
        <f t="shared" si="116"/>
        <v>0</v>
      </c>
      <c r="O386" s="48">
        <f t="shared" si="117"/>
        <v>0</v>
      </c>
      <c r="P386" s="48">
        <f t="shared" si="118"/>
        <v>0</v>
      </c>
      <c r="Q386" s="48">
        <f t="shared" si="119"/>
        <v>0</v>
      </c>
      <c r="R386" s="41">
        <f t="shared" si="120"/>
        <v>0</v>
      </c>
    </row>
    <row r="387" spans="2:19" x14ac:dyDescent="0.2">
      <c r="B387" s="63" t="str">
        <f>IF(F387&lt;&gt;"",1+MAX($B$21:B386),"")</f>
        <v/>
      </c>
      <c r="C387" s="69"/>
      <c r="D387" s="77" t="s">
        <v>484</v>
      </c>
      <c r="E387" s="14"/>
      <c r="F387" s="19"/>
      <c r="G387" s="48"/>
      <c r="H387" s="48">
        <f t="shared" si="113"/>
        <v>0</v>
      </c>
      <c r="I387" s="48">
        <f t="shared" si="114"/>
        <v>0</v>
      </c>
      <c r="J387" s="49"/>
      <c r="K387" s="50">
        <f t="shared" si="115"/>
        <v>0</v>
      </c>
      <c r="L387" s="50"/>
      <c r="M387" s="48"/>
      <c r="N387" s="48">
        <f t="shared" si="116"/>
        <v>0</v>
      </c>
      <c r="O387" s="48">
        <f t="shared" si="117"/>
        <v>0</v>
      </c>
      <c r="P387" s="48">
        <f t="shared" si="118"/>
        <v>0</v>
      </c>
      <c r="Q387" s="48">
        <f t="shared" si="119"/>
        <v>0</v>
      </c>
      <c r="R387" s="41">
        <f t="shared" si="120"/>
        <v>0</v>
      </c>
    </row>
    <row r="388" spans="2:19" ht="51" x14ac:dyDescent="0.2">
      <c r="B388" s="61">
        <f>IF(F388&lt;&gt;"",1+MAX($B$21:B387),"")</f>
        <v>214</v>
      </c>
      <c r="C388" s="198" t="s">
        <v>495</v>
      </c>
      <c r="D388" s="78" t="s">
        <v>485</v>
      </c>
      <c r="E388" s="14" t="s">
        <v>72</v>
      </c>
      <c r="F388" s="19">
        <v>107.3</v>
      </c>
      <c r="G388" s="12">
        <v>84.5</v>
      </c>
      <c r="H388" s="12">
        <f t="shared" si="113"/>
        <v>80.444000000000003</v>
      </c>
      <c r="I388" s="12">
        <f t="shared" si="114"/>
        <v>8631.6412</v>
      </c>
      <c r="J388" s="11">
        <v>0.13900000000000001</v>
      </c>
      <c r="K388" s="7">
        <f t="shared" si="115"/>
        <v>14.914700000000002</v>
      </c>
      <c r="L388" s="28" t="s">
        <v>1067</v>
      </c>
      <c r="M388" s="29">
        <v>51</v>
      </c>
      <c r="N388" s="48">
        <f t="shared" si="116"/>
        <v>37.280999999999999</v>
      </c>
      <c r="O388" s="48">
        <f t="shared" si="117"/>
        <v>5.1820590000000006</v>
      </c>
      <c r="P388" s="48">
        <f t="shared" si="118"/>
        <v>556.03493070000002</v>
      </c>
      <c r="Q388" s="48">
        <f t="shared" si="119"/>
        <v>9187.6761306999997</v>
      </c>
      <c r="R388" s="41">
        <f t="shared" si="120"/>
        <v>12846.6856177889</v>
      </c>
    </row>
    <row r="389" spans="2:19" ht="38.25" x14ac:dyDescent="0.2">
      <c r="B389" s="61">
        <f>IF(F389&lt;&gt;"",1+MAX($B$21:B388),"")</f>
        <v>215</v>
      </c>
      <c r="C389" s="196"/>
      <c r="D389" s="78" t="s">
        <v>487</v>
      </c>
      <c r="E389" s="14" t="s">
        <v>72</v>
      </c>
      <c r="F389" s="19">
        <v>53.22</v>
      </c>
      <c r="G389" s="12">
        <v>84.5</v>
      </c>
      <c r="H389" s="12">
        <f t="shared" si="113"/>
        <v>80.444000000000003</v>
      </c>
      <c r="I389" s="12">
        <f t="shared" si="114"/>
        <v>4281.2296800000004</v>
      </c>
      <c r="J389" s="11">
        <v>0.13900000000000001</v>
      </c>
      <c r="K389" s="7">
        <f t="shared" si="115"/>
        <v>7.3975800000000005</v>
      </c>
      <c r="L389" s="28" t="s">
        <v>1067</v>
      </c>
      <c r="M389" s="29">
        <v>51</v>
      </c>
      <c r="N389" s="48">
        <f t="shared" si="116"/>
        <v>37.280999999999999</v>
      </c>
      <c r="O389" s="48">
        <f t="shared" si="117"/>
        <v>5.1820590000000006</v>
      </c>
      <c r="P389" s="48">
        <f t="shared" si="118"/>
        <v>275.78917998000003</v>
      </c>
      <c r="Q389" s="48">
        <f t="shared" si="119"/>
        <v>4557.0188599800003</v>
      </c>
      <c r="R389" s="41">
        <f t="shared" si="120"/>
        <v>6371.8602849834606</v>
      </c>
    </row>
    <row r="390" spans="2:19" ht="51" x14ac:dyDescent="0.2">
      <c r="B390" s="61">
        <f>IF(F390&lt;&gt;"",1+MAX($B$21:B389),"")</f>
        <v>216</v>
      </c>
      <c r="C390" s="197"/>
      <c r="D390" s="78" t="s">
        <v>486</v>
      </c>
      <c r="E390" s="14" t="s">
        <v>72</v>
      </c>
      <c r="F390" s="19">
        <v>44.56</v>
      </c>
      <c r="G390" s="12">
        <v>84.5</v>
      </c>
      <c r="H390" s="12">
        <f t="shared" si="113"/>
        <v>80.444000000000003</v>
      </c>
      <c r="I390" s="12">
        <f t="shared" si="114"/>
        <v>3584.5846400000005</v>
      </c>
      <c r="J390" s="11">
        <v>0.13900000000000001</v>
      </c>
      <c r="K390" s="7">
        <f t="shared" si="115"/>
        <v>6.1938400000000007</v>
      </c>
      <c r="L390" s="28" t="s">
        <v>1067</v>
      </c>
      <c r="M390" s="29">
        <v>51</v>
      </c>
      <c r="N390" s="48">
        <f t="shared" si="116"/>
        <v>37.280999999999999</v>
      </c>
      <c r="O390" s="48">
        <f t="shared" si="117"/>
        <v>5.1820590000000006</v>
      </c>
      <c r="P390" s="48">
        <f t="shared" si="118"/>
        <v>230.91254904000004</v>
      </c>
      <c r="Q390" s="48">
        <f t="shared" si="119"/>
        <v>3815.4971890400006</v>
      </c>
      <c r="R390" s="41">
        <f t="shared" si="120"/>
        <v>5335.0261987760805</v>
      </c>
    </row>
    <row r="391" spans="2:19" ht="13.5" thickBot="1" x14ac:dyDescent="0.25">
      <c r="B391" s="61" t="str">
        <f>IF(F391&lt;&gt;"",1+MAX($B$21:B390),"")</f>
        <v/>
      </c>
      <c r="C391" s="67"/>
      <c r="D391" s="73"/>
      <c r="E391" s="14"/>
      <c r="F391" s="19"/>
      <c r="G391" s="48"/>
      <c r="H391" s="48">
        <f t="shared" si="113"/>
        <v>0</v>
      </c>
      <c r="I391" s="48">
        <f t="shared" si="114"/>
        <v>0</v>
      </c>
      <c r="J391" s="49"/>
      <c r="K391" s="50">
        <f t="shared" si="115"/>
        <v>0</v>
      </c>
      <c r="L391" s="50"/>
      <c r="M391" s="48"/>
      <c r="N391" s="48">
        <f t="shared" si="116"/>
        <v>0</v>
      </c>
      <c r="O391" s="48">
        <f t="shared" si="117"/>
        <v>0</v>
      </c>
      <c r="P391" s="48">
        <f t="shared" si="118"/>
        <v>0</v>
      </c>
      <c r="Q391" s="48">
        <f t="shared" si="119"/>
        <v>0</v>
      </c>
      <c r="R391" s="41">
        <f t="shared" si="120"/>
        <v>0</v>
      </c>
    </row>
    <row r="392" spans="2:19" s="9" customFormat="1" ht="26.25" thickBot="1" x14ac:dyDescent="0.25">
      <c r="B392" s="59" t="str">
        <f>IF(F392&lt;&gt;"",1+MAX($B$21:B391),"")</f>
        <v/>
      </c>
      <c r="C392" s="65" t="s">
        <v>47</v>
      </c>
      <c r="D392" s="72" t="s">
        <v>13</v>
      </c>
      <c r="E392" s="51"/>
      <c r="F392" s="51"/>
      <c r="G392" s="51"/>
      <c r="H392" s="52" t="s">
        <v>61</v>
      </c>
      <c r="I392" s="53">
        <f>SUM(I393:I546)</f>
        <v>61164.867944128629</v>
      </c>
      <c r="J392" s="54"/>
      <c r="K392" s="55" t="str">
        <f>ROUND(SUM(K393:K546),0) &amp; " " &amp; "HRS"</f>
        <v>1025 HRS</v>
      </c>
      <c r="L392" s="56"/>
      <c r="M392" s="56"/>
      <c r="N392" s="56"/>
      <c r="O392" s="52" t="s">
        <v>62</v>
      </c>
      <c r="P392" s="53">
        <f>SUM(P393:P546)</f>
        <v>38206.630981765127</v>
      </c>
      <c r="Q392" s="57">
        <f>SUM(Q393:Q546)</f>
        <v>99371.498925893757</v>
      </c>
      <c r="R392" s="58">
        <f>(Q392)+(I392*$Q$7)+(P392*$Q$8)+(Q392*$Q$9)+($Q$10*((Q392)+(I392*$Q$7)+(P392*$Q$8)+(Q392*$Q$9)))+(Q392*$Q$11)</f>
        <v>139931.48400816007</v>
      </c>
    </row>
    <row r="393" spans="2:19" x14ac:dyDescent="0.2">
      <c r="B393" s="61" t="str">
        <f>IF(F393&lt;&gt;"",1+MAX($B$21:B392),"")</f>
        <v/>
      </c>
      <c r="C393" s="67"/>
      <c r="D393" s="73"/>
      <c r="E393" s="14"/>
      <c r="F393" s="19"/>
      <c r="G393" s="48"/>
      <c r="H393" s="48">
        <f t="shared" ref="H393:H456" si="125">G393*$T$2</f>
        <v>0</v>
      </c>
      <c r="I393" s="48">
        <f t="shared" ref="I393:I452" si="126">F393*H393</f>
        <v>0</v>
      </c>
      <c r="J393" s="49"/>
      <c r="K393" s="50">
        <f t="shared" ref="K393:K452" si="127">F393*J393</f>
        <v>0</v>
      </c>
      <c r="L393" s="50"/>
      <c r="M393" s="48"/>
      <c r="N393" s="48">
        <f t="shared" ref="N393:N456" si="128">M393*$U$2</f>
        <v>0</v>
      </c>
      <c r="O393" s="48">
        <f t="shared" ref="O393:O452" si="129">J393*N393</f>
        <v>0</v>
      </c>
      <c r="P393" s="48">
        <f t="shared" ref="P393:P452" si="130">F393*O393</f>
        <v>0</v>
      </c>
      <c r="Q393" s="48">
        <f t="shared" ref="Q393:Q452" si="131">I393+P393</f>
        <v>0</v>
      </c>
      <c r="R393" s="41">
        <f t="shared" ref="R393:R452" si="132">Q393+(I393*$Q$7)+(P393*$Q$8)+(Q393*$Q$9)+(Q393*$Q$11)+($Q$10*(Q393+(I393*$Q$7)+(P393*$Q$8)+(Q393*$Q$9)))</f>
        <v>0</v>
      </c>
      <c r="S393" s="9"/>
    </row>
    <row r="394" spans="2:19" x14ac:dyDescent="0.2">
      <c r="B394" s="62" t="str">
        <f>IF(F394&lt;&gt;"",1+MAX($B$21:B393),"")</f>
        <v/>
      </c>
      <c r="C394" s="68"/>
      <c r="D394" s="74" t="s">
        <v>83</v>
      </c>
      <c r="E394" s="14"/>
      <c r="F394" s="19"/>
      <c r="G394" s="48"/>
      <c r="H394" s="48">
        <f t="shared" si="125"/>
        <v>0</v>
      </c>
      <c r="I394" s="48">
        <f t="shared" si="126"/>
        <v>0</v>
      </c>
      <c r="J394" s="49"/>
      <c r="K394" s="50">
        <f t="shared" si="127"/>
        <v>0</v>
      </c>
      <c r="L394" s="50"/>
      <c r="M394" s="48"/>
      <c r="N394" s="48">
        <f t="shared" si="128"/>
        <v>0</v>
      </c>
      <c r="O394" s="48">
        <f t="shared" si="129"/>
        <v>0</v>
      </c>
      <c r="P394" s="48">
        <f t="shared" si="130"/>
        <v>0</v>
      </c>
      <c r="Q394" s="48">
        <f t="shared" si="131"/>
        <v>0</v>
      </c>
      <c r="R394" s="41">
        <f t="shared" si="132"/>
        <v>0</v>
      </c>
    </row>
    <row r="395" spans="2:19" ht="51" x14ac:dyDescent="0.2">
      <c r="B395" s="61">
        <f>IF(F395&lt;&gt;"",1+MAX($B$21:B394),"")</f>
        <v>217</v>
      </c>
      <c r="C395" s="195" t="s">
        <v>504</v>
      </c>
      <c r="D395" s="73" t="s">
        <v>340</v>
      </c>
      <c r="E395" s="14" t="s">
        <v>72</v>
      </c>
      <c r="F395" s="19">
        <v>68.78</v>
      </c>
      <c r="G395" s="12">
        <v>4.49</v>
      </c>
      <c r="H395" s="12">
        <f t="shared" si="125"/>
        <v>4.2744799999999996</v>
      </c>
      <c r="I395" s="12">
        <f t="shared" si="126"/>
        <v>293.99873439999999</v>
      </c>
      <c r="J395" s="11">
        <v>0.107</v>
      </c>
      <c r="K395" s="7">
        <f t="shared" si="127"/>
        <v>7.3594600000000003</v>
      </c>
      <c r="L395" s="28" t="s">
        <v>1070</v>
      </c>
      <c r="M395" s="29">
        <v>44.86</v>
      </c>
      <c r="N395" s="48">
        <f t="shared" si="128"/>
        <v>32.792659999999998</v>
      </c>
      <c r="O395" s="48">
        <f t="shared" si="129"/>
        <v>3.5088146199999999</v>
      </c>
      <c r="P395" s="48">
        <f t="shared" si="130"/>
        <v>241.33626956359998</v>
      </c>
      <c r="Q395" s="48">
        <f t="shared" si="131"/>
        <v>535.3350039636</v>
      </c>
      <c r="R395" s="41">
        <f t="shared" si="132"/>
        <v>754.92668938341728</v>
      </c>
    </row>
    <row r="396" spans="2:19" ht="63.75" x14ac:dyDescent="0.2">
      <c r="B396" s="61">
        <f>IF(F396&lt;&gt;"",1+MAX($B$21:B395),"")</f>
        <v>218</v>
      </c>
      <c r="C396" s="195"/>
      <c r="D396" s="73" t="s">
        <v>337</v>
      </c>
      <c r="E396" s="14" t="s">
        <v>72</v>
      </c>
      <c r="F396" s="19">
        <v>131.36000000000001</v>
      </c>
      <c r="G396" s="48">
        <v>1.85</v>
      </c>
      <c r="H396" s="48">
        <f t="shared" si="125"/>
        <v>1.7612000000000001</v>
      </c>
      <c r="I396" s="48">
        <f t="shared" si="126"/>
        <v>231.35123200000004</v>
      </c>
      <c r="J396" s="11">
        <v>2.5000000000000001E-2</v>
      </c>
      <c r="K396" s="7">
        <f t="shared" si="127"/>
        <v>3.2840000000000007</v>
      </c>
      <c r="L396" s="28" t="s">
        <v>1071</v>
      </c>
      <c r="M396" s="29">
        <v>49.5</v>
      </c>
      <c r="N396" s="48">
        <f t="shared" si="128"/>
        <v>36.1845</v>
      </c>
      <c r="O396" s="48">
        <f t="shared" si="129"/>
        <v>0.90461250000000004</v>
      </c>
      <c r="P396" s="48">
        <f t="shared" si="130"/>
        <v>118.82989800000001</v>
      </c>
      <c r="Q396" s="48">
        <f t="shared" si="131"/>
        <v>350.18113000000005</v>
      </c>
      <c r="R396" s="41">
        <f t="shared" si="132"/>
        <v>492.62912481080008</v>
      </c>
    </row>
    <row r="397" spans="2:19" ht="63.75" x14ac:dyDescent="0.2">
      <c r="B397" s="61">
        <f>IF(F397&lt;&gt;"",1+MAX($B$21:B396),"")</f>
        <v>219</v>
      </c>
      <c r="C397" s="195"/>
      <c r="D397" s="73" t="s">
        <v>334</v>
      </c>
      <c r="E397" s="14" t="s">
        <v>72</v>
      </c>
      <c r="F397" s="19">
        <v>435.67</v>
      </c>
      <c r="G397" s="48">
        <f>G$396</f>
        <v>1.85</v>
      </c>
      <c r="H397" s="48">
        <f t="shared" si="125"/>
        <v>1.7612000000000001</v>
      </c>
      <c r="I397" s="48">
        <f t="shared" si="126"/>
        <v>767.30200400000012</v>
      </c>
      <c r="J397" s="49">
        <f>J$396</f>
        <v>2.5000000000000001E-2</v>
      </c>
      <c r="K397" s="50">
        <f t="shared" si="127"/>
        <v>10.891750000000002</v>
      </c>
      <c r="L397" s="50" t="str">
        <f t="shared" ref="L397:M398" si="133">L$396</f>
        <v>TILF</v>
      </c>
      <c r="M397" s="48">
        <f t="shared" si="133"/>
        <v>49.5</v>
      </c>
      <c r="N397" s="48">
        <f t="shared" si="128"/>
        <v>36.1845</v>
      </c>
      <c r="O397" s="48">
        <f t="shared" si="129"/>
        <v>0.90461250000000004</v>
      </c>
      <c r="P397" s="48">
        <f t="shared" si="130"/>
        <v>394.11252787500001</v>
      </c>
      <c r="Q397" s="48">
        <f t="shared" si="131"/>
        <v>1161.4145318750002</v>
      </c>
      <c r="R397" s="41">
        <f t="shared" si="132"/>
        <v>1633.8590956632252</v>
      </c>
    </row>
    <row r="398" spans="2:19" ht="63.75" x14ac:dyDescent="0.2">
      <c r="B398" s="61">
        <f>IF(F398&lt;&gt;"",1+MAX($B$21:B397),"")</f>
        <v>220</v>
      </c>
      <c r="C398" s="195"/>
      <c r="D398" s="73" t="s">
        <v>335</v>
      </c>
      <c r="E398" s="14" t="s">
        <v>72</v>
      </c>
      <c r="F398" s="19">
        <v>27.08</v>
      </c>
      <c r="G398" s="48">
        <f>G$396</f>
        <v>1.85</v>
      </c>
      <c r="H398" s="48">
        <f t="shared" si="125"/>
        <v>1.7612000000000001</v>
      </c>
      <c r="I398" s="48">
        <f t="shared" si="126"/>
        <v>47.693295999999997</v>
      </c>
      <c r="J398" s="49">
        <f>J$396</f>
        <v>2.5000000000000001E-2</v>
      </c>
      <c r="K398" s="50">
        <f t="shared" si="127"/>
        <v>0.67700000000000005</v>
      </c>
      <c r="L398" s="50" t="str">
        <f t="shared" si="133"/>
        <v>TILF</v>
      </c>
      <c r="M398" s="48">
        <f t="shared" si="133"/>
        <v>49.5</v>
      </c>
      <c r="N398" s="48">
        <f t="shared" si="128"/>
        <v>36.1845</v>
      </c>
      <c r="O398" s="48">
        <f t="shared" si="129"/>
        <v>0.90461250000000004</v>
      </c>
      <c r="P398" s="48">
        <f t="shared" si="130"/>
        <v>24.496906499999998</v>
      </c>
      <c r="Q398" s="48">
        <f t="shared" si="131"/>
        <v>72.190202499999998</v>
      </c>
      <c r="R398" s="41">
        <f t="shared" si="132"/>
        <v>101.55600410989999</v>
      </c>
    </row>
    <row r="399" spans="2:19" ht="63.75" x14ac:dyDescent="0.2">
      <c r="B399" s="61">
        <f>IF(F399&lt;&gt;"",1+MAX($B$21:B398),"")</f>
        <v>221</v>
      </c>
      <c r="C399" s="195"/>
      <c r="D399" s="73" t="s">
        <v>336</v>
      </c>
      <c r="E399" s="14" t="s">
        <v>72</v>
      </c>
      <c r="F399" s="19">
        <v>82.42</v>
      </c>
      <c r="G399" s="12">
        <v>4.87</v>
      </c>
      <c r="H399" s="12">
        <f t="shared" si="125"/>
        <v>4.6362399999999999</v>
      </c>
      <c r="I399" s="12">
        <f t="shared" si="126"/>
        <v>382.11890080000001</v>
      </c>
      <c r="J399" s="11">
        <v>2.5000000000000001E-2</v>
      </c>
      <c r="K399" s="7">
        <f t="shared" si="127"/>
        <v>2.0605000000000002</v>
      </c>
      <c r="L399" s="28" t="s">
        <v>1071</v>
      </c>
      <c r="M399" s="29">
        <v>49.5</v>
      </c>
      <c r="N399" s="48">
        <f t="shared" si="128"/>
        <v>36.1845</v>
      </c>
      <c r="O399" s="48">
        <f t="shared" ref="O399" si="134">J399*N399</f>
        <v>0.90461250000000004</v>
      </c>
      <c r="P399" s="48">
        <f t="shared" si="130"/>
        <v>74.558162250000009</v>
      </c>
      <c r="Q399" s="48">
        <f t="shared" si="131"/>
        <v>456.67706305000002</v>
      </c>
      <c r="R399" s="41">
        <f t="shared" si="132"/>
        <v>639.98533060786997</v>
      </c>
    </row>
    <row r="400" spans="2:19" ht="63.75" x14ac:dyDescent="0.2">
      <c r="B400" s="61">
        <f>IF(F400&lt;&gt;"",1+MAX($B$21:B399),"")</f>
        <v>222</v>
      </c>
      <c r="C400" s="195"/>
      <c r="D400" s="73" t="s">
        <v>338</v>
      </c>
      <c r="E400" s="14" t="s">
        <v>72</v>
      </c>
      <c r="F400" s="19">
        <v>946.11</v>
      </c>
      <c r="G400" s="12">
        <v>8.9</v>
      </c>
      <c r="H400" s="12">
        <f t="shared" si="125"/>
        <v>8.4727999999999994</v>
      </c>
      <c r="I400" s="12">
        <f t="shared" si="126"/>
        <v>8016.2008079999996</v>
      </c>
      <c r="J400" s="11">
        <v>0.114</v>
      </c>
      <c r="K400" s="7">
        <f t="shared" si="127"/>
        <v>107.85654000000001</v>
      </c>
      <c r="L400" s="28" t="s">
        <v>1072</v>
      </c>
      <c r="M400" s="29">
        <v>49.5</v>
      </c>
      <c r="N400" s="48">
        <f t="shared" si="128"/>
        <v>36.1845</v>
      </c>
      <c r="O400" s="48">
        <f t="shared" si="129"/>
        <v>4.1250330000000002</v>
      </c>
      <c r="P400" s="48">
        <f t="shared" si="130"/>
        <v>3902.73497163</v>
      </c>
      <c r="Q400" s="48">
        <f t="shared" si="131"/>
        <v>11918.935779629999</v>
      </c>
      <c r="R400" s="41">
        <f t="shared" si="132"/>
        <v>16763.025612807207</v>
      </c>
    </row>
    <row r="401" spans="2:18" ht="63.75" x14ac:dyDescent="0.2">
      <c r="B401" s="61">
        <f>IF(F401&lt;&gt;"",1+MAX($B$21:B400),"")</f>
        <v>223</v>
      </c>
      <c r="C401" s="195"/>
      <c r="D401" s="73" t="s">
        <v>339</v>
      </c>
      <c r="E401" s="14" t="s">
        <v>72</v>
      </c>
      <c r="F401" s="19">
        <v>93.95</v>
      </c>
      <c r="G401" s="12">
        <v>4.0999999999999996</v>
      </c>
      <c r="H401" s="12">
        <f t="shared" si="125"/>
        <v>3.9031999999999996</v>
      </c>
      <c r="I401" s="12">
        <f t="shared" si="126"/>
        <v>366.70563999999996</v>
      </c>
      <c r="J401" s="11">
        <v>6.7000000000000004E-2</v>
      </c>
      <c r="K401" s="7">
        <f t="shared" si="127"/>
        <v>6.2946500000000007</v>
      </c>
      <c r="L401" s="28" t="s">
        <v>1072</v>
      </c>
      <c r="M401" s="29">
        <v>49.5</v>
      </c>
      <c r="N401" s="48">
        <f t="shared" si="128"/>
        <v>36.1845</v>
      </c>
      <c r="O401" s="48">
        <f t="shared" si="129"/>
        <v>2.4243615000000003</v>
      </c>
      <c r="P401" s="48">
        <f t="shared" si="130"/>
        <v>227.76876292500003</v>
      </c>
      <c r="Q401" s="48">
        <f t="shared" si="131"/>
        <v>594.47440292500005</v>
      </c>
      <c r="R401" s="41">
        <f t="shared" si="132"/>
        <v>837.093780389975</v>
      </c>
    </row>
    <row r="402" spans="2:18" ht="51" x14ac:dyDescent="0.2">
      <c r="B402" s="61">
        <f>IF(F402&lt;&gt;"",1+MAX($B$21:B401),"")</f>
        <v>224</v>
      </c>
      <c r="C402" s="195"/>
      <c r="D402" s="73" t="s">
        <v>341</v>
      </c>
      <c r="E402" s="14" t="s">
        <v>72</v>
      </c>
      <c r="F402" s="19">
        <v>10</v>
      </c>
      <c r="G402" s="48">
        <v>3.34</v>
      </c>
      <c r="H402" s="48">
        <f t="shared" si="125"/>
        <v>3.1796799999999998</v>
      </c>
      <c r="I402" s="48">
        <f t="shared" si="126"/>
        <v>31.796799999999998</v>
      </c>
      <c r="J402" s="11">
        <v>2.5000000000000001E-2</v>
      </c>
      <c r="K402" s="7">
        <f t="shared" ref="K402" si="135">F402*J402</f>
        <v>0.25</v>
      </c>
      <c r="L402" s="28" t="s">
        <v>1071</v>
      </c>
      <c r="M402" s="29">
        <v>49.5</v>
      </c>
      <c r="N402" s="48">
        <f t="shared" si="128"/>
        <v>36.1845</v>
      </c>
      <c r="O402" s="48">
        <f t="shared" ref="O402" si="136">J402*N402</f>
        <v>0.90461250000000004</v>
      </c>
      <c r="P402" s="48">
        <f t="shared" ref="P402" si="137">F402*O402</f>
        <v>9.046125</v>
      </c>
      <c r="Q402" s="48">
        <f t="shared" si="131"/>
        <v>40.842924999999994</v>
      </c>
      <c r="R402" s="41">
        <f t="shared" si="132"/>
        <v>57.309871895000001</v>
      </c>
    </row>
    <row r="403" spans="2:18" x14ac:dyDescent="0.2">
      <c r="B403" s="61" t="str">
        <f>IF(F403&lt;&gt;"",1+MAX($B$21:B402),"")</f>
        <v/>
      </c>
      <c r="C403" s="195"/>
      <c r="D403" s="73"/>
      <c r="E403" s="14"/>
      <c r="F403" s="19"/>
      <c r="G403" s="48"/>
      <c r="H403" s="48">
        <f t="shared" si="125"/>
        <v>0</v>
      </c>
      <c r="I403" s="48">
        <f t="shared" si="126"/>
        <v>0</v>
      </c>
      <c r="J403" s="49"/>
      <c r="K403" s="50">
        <f t="shared" si="127"/>
        <v>0</v>
      </c>
      <c r="L403" s="50"/>
      <c r="M403" s="48"/>
      <c r="N403" s="48">
        <f t="shared" si="128"/>
        <v>0</v>
      </c>
      <c r="O403" s="48">
        <f t="shared" si="129"/>
        <v>0</v>
      </c>
      <c r="P403" s="48">
        <f t="shared" si="130"/>
        <v>0</v>
      </c>
      <c r="Q403" s="48">
        <f t="shared" si="131"/>
        <v>0</v>
      </c>
      <c r="R403" s="41">
        <f t="shared" si="132"/>
        <v>0</v>
      </c>
    </row>
    <row r="404" spans="2:18" x14ac:dyDescent="0.2">
      <c r="B404" s="61" t="str">
        <f>IF(F404&lt;&gt;"",1+MAX($B$21:B403),"")</f>
        <v/>
      </c>
      <c r="C404" s="195"/>
      <c r="D404" s="75" t="s">
        <v>346</v>
      </c>
      <c r="E404" s="14"/>
      <c r="F404" s="19"/>
      <c r="G404" s="48"/>
      <c r="H404" s="48">
        <f t="shared" si="125"/>
        <v>0</v>
      </c>
      <c r="I404" s="48">
        <f t="shared" si="126"/>
        <v>0</v>
      </c>
      <c r="J404" s="49"/>
      <c r="K404" s="50">
        <f t="shared" si="127"/>
        <v>0</v>
      </c>
      <c r="L404" s="50"/>
      <c r="M404" s="48"/>
      <c r="N404" s="48">
        <f t="shared" si="128"/>
        <v>0</v>
      </c>
      <c r="O404" s="48">
        <f t="shared" si="129"/>
        <v>0</v>
      </c>
      <c r="P404" s="48">
        <f t="shared" si="130"/>
        <v>0</v>
      </c>
      <c r="Q404" s="48">
        <f t="shared" si="131"/>
        <v>0</v>
      </c>
      <c r="R404" s="41">
        <f t="shared" si="132"/>
        <v>0</v>
      </c>
    </row>
    <row r="405" spans="2:18" ht="51" x14ac:dyDescent="0.2">
      <c r="B405" s="61">
        <f>IF(F405&lt;&gt;"",1+MAX($B$21:B404),"")</f>
        <v>225</v>
      </c>
      <c r="C405" s="195"/>
      <c r="D405" s="73" t="s">
        <v>347</v>
      </c>
      <c r="E405" s="14" t="s">
        <v>72</v>
      </c>
      <c r="F405" s="19">
        <v>1050</v>
      </c>
      <c r="G405" s="48">
        <v>0.77</v>
      </c>
      <c r="H405" s="48">
        <f t="shared" si="125"/>
        <v>0.73304000000000002</v>
      </c>
      <c r="I405" s="48">
        <f t="shared" si="126"/>
        <v>769.69200000000001</v>
      </c>
      <c r="J405" s="49">
        <v>8.9999999999999993E-3</v>
      </c>
      <c r="K405" s="50">
        <f t="shared" si="127"/>
        <v>9.4499999999999993</v>
      </c>
      <c r="L405" s="28" t="s">
        <v>1071</v>
      </c>
      <c r="M405" s="29">
        <v>49.5</v>
      </c>
      <c r="N405" s="48">
        <f t="shared" si="128"/>
        <v>36.1845</v>
      </c>
      <c r="O405" s="48">
        <f t="shared" si="129"/>
        <v>0.32566049999999996</v>
      </c>
      <c r="P405" s="48">
        <f t="shared" si="130"/>
        <v>341.94352499999997</v>
      </c>
      <c r="Q405" s="48">
        <f t="shared" si="131"/>
        <v>1111.6355249999999</v>
      </c>
      <c r="R405" s="41">
        <f t="shared" si="132"/>
        <v>1562.7513189749998</v>
      </c>
    </row>
    <row r="406" spans="2:18" ht="51" x14ac:dyDescent="0.2">
      <c r="B406" s="61">
        <f>IF(F406&lt;&gt;"",1+MAX($B$21:B405),"")</f>
        <v>226</v>
      </c>
      <c r="C406" s="195"/>
      <c r="D406" s="73" t="s">
        <v>348</v>
      </c>
      <c r="E406" s="14" t="s">
        <v>72</v>
      </c>
      <c r="F406" s="19">
        <v>300</v>
      </c>
      <c r="G406" s="48">
        <v>0.77</v>
      </c>
      <c r="H406" s="48">
        <f t="shared" si="125"/>
        <v>0.73304000000000002</v>
      </c>
      <c r="I406" s="48">
        <f t="shared" si="126"/>
        <v>219.91200000000001</v>
      </c>
      <c r="J406" s="49">
        <v>8.9999999999999993E-3</v>
      </c>
      <c r="K406" s="50">
        <f t="shared" si="127"/>
        <v>2.6999999999999997</v>
      </c>
      <c r="L406" s="28" t="s">
        <v>1071</v>
      </c>
      <c r="M406" s="29">
        <v>49.5</v>
      </c>
      <c r="N406" s="48">
        <f t="shared" si="128"/>
        <v>36.1845</v>
      </c>
      <c r="O406" s="48">
        <f t="shared" si="129"/>
        <v>0.32566049999999996</v>
      </c>
      <c r="P406" s="48">
        <f t="shared" si="130"/>
        <v>97.698149999999984</v>
      </c>
      <c r="Q406" s="48">
        <f t="shared" si="131"/>
        <v>317.61014999999998</v>
      </c>
      <c r="R406" s="41">
        <f t="shared" si="132"/>
        <v>446.50037685000001</v>
      </c>
    </row>
    <row r="407" spans="2:18" x14ac:dyDescent="0.2">
      <c r="B407" s="61" t="str">
        <f>IF(F407&lt;&gt;"",1+MAX($B$21:B406),"")</f>
        <v/>
      </c>
      <c r="C407" s="195"/>
      <c r="D407" s="73"/>
      <c r="E407" s="14"/>
      <c r="F407" s="19"/>
      <c r="G407" s="48"/>
      <c r="H407" s="48">
        <f t="shared" si="125"/>
        <v>0</v>
      </c>
      <c r="I407" s="48">
        <f t="shared" si="126"/>
        <v>0</v>
      </c>
      <c r="J407" s="49"/>
      <c r="K407" s="50">
        <f t="shared" si="127"/>
        <v>0</v>
      </c>
      <c r="L407" s="50"/>
      <c r="M407" s="48"/>
      <c r="N407" s="48">
        <f t="shared" si="128"/>
        <v>0</v>
      </c>
      <c r="O407" s="48">
        <f t="shared" si="129"/>
        <v>0</v>
      </c>
      <c r="P407" s="48">
        <f t="shared" si="130"/>
        <v>0</v>
      </c>
      <c r="Q407" s="48">
        <f t="shared" si="131"/>
        <v>0</v>
      </c>
      <c r="R407" s="41">
        <f t="shared" si="132"/>
        <v>0</v>
      </c>
    </row>
    <row r="408" spans="2:18" x14ac:dyDescent="0.2">
      <c r="B408" s="61" t="str">
        <f>IF(F408&lt;&gt;"",1+MAX($B$21:B407),"")</f>
        <v/>
      </c>
      <c r="C408" s="195"/>
      <c r="D408" s="75" t="s">
        <v>84</v>
      </c>
      <c r="E408" s="14"/>
      <c r="F408" s="19"/>
      <c r="G408" s="48"/>
      <c r="H408" s="48">
        <f t="shared" si="125"/>
        <v>0</v>
      </c>
      <c r="I408" s="48">
        <f t="shared" si="126"/>
        <v>0</v>
      </c>
      <c r="J408" s="49"/>
      <c r="K408" s="50">
        <f t="shared" si="127"/>
        <v>0</v>
      </c>
      <c r="L408" s="50"/>
      <c r="M408" s="48"/>
      <c r="N408" s="48">
        <f t="shared" si="128"/>
        <v>0</v>
      </c>
      <c r="O408" s="48">
        <f t="shared" si="129"/>
        <v>0</v>
      </c>
      <c r="P408" s="48">
        <f t="shared" si="130"/>
        <v>0</v>
      </c>
      <c r="Q408" s="48">
        <f t="shared" si="131"/>
        <v>0</v>
      </c>
      <c r="R408" s="41">
        <f t="shared" si="132"/>
        <v>0</v>
      </c>
    </row>
    <row r="409" spans="2:18" ht="63.75" x14ac:dyDescent="0.2">
      <c r="B409" s="61">
        <f>IF(F409&lt;&gt;"",1+MAX($B$21:B408),"")</f>
        <v>227</v>
      </c>
      <c r="C409" s="195"/>
      <c r="D409" s="73" t="s">
        <v>370</v>
      </c>
      <c r="E409" s="14" t="s">
        <v>74</v>
      </c>
      <c r="F409" s="19">
        <v>404.72</v>
      </c>
      <c r="G409" s="48">
        <v>1.51</v>
      </c>
      <c r="H409" s="48">
        <f t="shared" si="125"/>
        <v>1.4375199999999999</v>
      </c>
      <c r="I409" s="48">
        <f t="shared" si="126"/>
        <v>581.79309439999997</v>
      </c>
      <c r="J409" s="11">
        <v>3.6999999999999998E-2</v>
      </c>
      <c r="K409" s="7">
        <f t="shared" si="127"/>
        <v>14.974640000000001</v>
      </c>
      <c r="L409" s="28" t="s">
        <v>1072</v>
      </c>
      <c r="M409" s="29">
        <v>49.5</v>
      </c>
      <c r="N409" s="48">
        <f t="shared" si="128"/>
        <v>36.1845</v>
      </c>
      <c r="O409" s="48">
        <f t="shared" si="129"/>
        <v>1.3388264999999999</v>
      </c>
      <c r="P409" s="48">
        <f t="shared" si="130"/>
        <v>541.84986107999998</v>
      </c>
      <c r="Q409" s="48">
        <f t="shared" si="131"/>
        <v>1123.64295548</v>
      </c>
      <c r="R409" s="41">
        <f t="shared" si="132"/>
        <v>1585.6356287813198</v>
      </c>
    </row>
    <row r="410" spans="2:18" ht="63.75" x14ac:dyDescent="0.2">
      <c r="B410" s="61">
        <f>IF(F410&lt;&gt;"",1+MAX($B$21:B409),"")</f>
        <v>228</v>
      </c>
      <c r="C410" s="195"/>
      <c r="D410" s="73" t="s">
        <v>365</v>
      </c>
      <c r="E410" s="14" t="s">
        <v>74</v>
      </c>
      <c r="F410" s="19">
        <v>11.28</v>
      </c>
      <c r="G410" s="48">
        <v>1.73</v>
      </c>
      <c r="H410" s="48">
        <f t="shared" si="125"/>
        <v>1.64696</v>
      </c>
      <c r="I410" s="48">
        <f t="shared" si="126"/>
        <v>18.5777088</v>
      </c>
      <c r="J410" s="11">
        <v>3.5000000000000003E-2</v>
      </c>
      <c r="K410" s="7">
        <f t="shared" si="127"/>
        <v>0.39480000000000004</v>
      </c>
      <c r="L410" s="28" t="s">
        <v>1072</v>
      </c>
      <c r="M410" s="29">
        <v>49.5</v>
      </c>
      <c r="N410" s="48">
        <f t="shared" si="128"/>
        <v>36.1845</v>
      </c>
      <c r="O410" s="48">
        <f t="shared" si="129"/>
        <v>1.2664575</v>
      </c>
      <c r="P410" s="48">
        <f t="shared" si="130"/>
        <v>14.285640599999999</v>
      </c>
      <c r="Q410" s="48">
        <f t="shared" si="131"/>
        <v>32.863349399999997</v>
      </c>
      <c r="R410" s="41">
        <f t="shared" si="132"/>
        <v>46.327521704519995</v>
      </c>
    </row>
    <row r="411" spans="2:18" x14ac:dyDescent="0.2">
      <c r="B411" s="61" t="str">
        <f>IF(F411&lt;&gt;"",1+MAX($B$21:B410),"")</f>
        <v/>
      </c>
      <c r="C411" s="195"/>
      <c r="D411" s="73"/>
      <c r="E411" s="14"/>
      <c r="F411" s="19"/>
      <c r="G411" s="48"/>
      <c r="H411" s="48">
        <f t="shared" si="125"/>
        <v>0</v>
      </c>
      <c r="I411" s="48">
        <f t="shared" si="126"/>
        <v>0</v>
      </c>
      <c r="J411" s="49"/>
      <c r="K411" s="50">
        <f t="shared" si="127"/>
        <v>0</v>
      </c>
      <c r="L411" s="50"/>
      <c r="M411" s="48"/>
      <c r="N411" s="48">
        <f t="shared" si="128"/>
        <v>0</v>
      </c>
      <c r="O411" s="48">
        <f t="shared" si="129"/>
        <v>0</v>
      </c>
      <c r="P411" s="48">
        <f t="shared" si="130"/>
        <v>0</v>
      </c>
      <c r="Q411" s="48">
        <f t="shared" si="131"/>
        <v>0</v>
      </c>
      <c r="R411" s="41">
        <f t="shared" si="132"/>
        <v>0</v>
      </c>
    </row>
    <row r="412" spans="2:18" x14ac:dyDescent="0.2">
      <c r="B412" s="61" t="str">
        <f>IF(F412&lt;&gt;"",1+MAX($B$21:B411),"")</f>
        <v/>
      </c>
      <c r="C412" s="195"/>
      <c r="D412" s="75" t="s">
        <v>85</v>
      </c>
      <c r="E412" s="14"/>
      <c r="F412" s="19"/>
      <c r="G412" s="48"/>
      <c r="H412" s="48">
        <f t="shared" si="125"/>
        <v>0</v>
      </c>
      <c r="I412" s="48">
        <f t="shared" si="126"/>
        <v>0</v>
      </c>
      <c r="J412" s="49"/>
      <c r="K412" s="50">
        <f t="shared" si="127"/>
        <v>0</v>
      </c>
      <c r="L412" s="50"/>
      <c r="M412" s="48"/>
      <c r="N412" s="48">
        <f t="shared" si="128"/>
        <v>0</v>
      </c>
      <c r="O412" s="48">
        <f t="shared" si="129"/>
        <v>0</v>
      </c>
      <c r="P412" s="48">
        <f t="shared" si="130"/>
        <v>0</v>
      </c>
      <c r="Q412" s="48">
        <f t="shared" si="131"/>
        <v>0</v>
      </c>
      <c r="R412" s="41">
        <f t="shared" si="132"/>
        <v>0</v>
      </c>
    </row>
    <row r="413" spans="2:18" ht="51" x14ac:dyDescent="0.2">
      <c r="B413" s="61">
        <f>IF(F413&lt;&gt;"",1+MAX($B$21:B412),"")</f>
        <v>229</v>
      </c>
      <c r="C413" s="195"/>
      <c r="D413" s="73" t="s">
        <v>343</v>
      </c>
      <c r="E413" s="14" t="s">
        <v>74</v>
      </c>
      <c r="F413" s="19">
        <v>51.63</v>
      </c>
      <c r="G413" s="48">
        <f>21.41/10</f>
        <v>2.141</v>
      </c>
      <c r="H413" s="48">
        <f t="shared" si="125"/>
        <v>2.0382319999999998</v>
      </c>
      <c r="I413" s="48">
        <f t="shared" si="126"/>
        <v>105.23391816</v>
      </c>
      <c r="J413" s="49">
        <v>3.2000000000000001E-2</v>
      </c>
      <c r="K413" s="50">
        <f t="shared" si="127"/>
        <v>1.6521600000000001</v>
      </c>
      <c r="L413" s="50" t="s">
        <v>1048</v>
      </c>
      <c r="M413" s="48">
        <v>53.15</v>
      </c>
      <c r="N413" s="48">
        <f t="shared" si="128"/>
        <v>38.852649999999997</v>
      </c>
      <c r="O413" s="48">
        <f t="shared" si="129"/>
        <v>1.2432847999999999</v>
      </c>
      <c r="P413" s="48">
        <f t="shared" si="130"/>
        <v>64.190794224000001</v>
      </c>
      <c r="Q413" s="48">
        <f t="shared" si="131"/>
        <v>169.424712384</v>
      </c>
      <c r="R413" s="41">
        <f t="shared" si="132"/>
        <v>238.548906676272</v>
      </c>
    </row>
    <row r="414" spans="2:18" ht="51" x14ac:dyDescent="0.2">
      <c r="B414" s="61">
        <f>IF(F414&lt;&gt;"",1+MAX($B$21:B413),"")</f>
        <v>230</v>
      </c>
      <c r="C414" s="195"/>
      <c r="D414" s="73" t="s">
        <v>342</v>
      </c>
      <c r="E414" s="14" t="s">
        <v>74</v>
      </c>
      <c r="F414" s="19">
        <v>28.99</v>
      </c>
      <c r="G414" s="48">
        <f>21.41/10</f>
        <v>2.141</v>
      </c>
      <c r="H414" s="48">
        <f t="shared" si="125"/>
        <v>2.0382319999999998</v>
      </c>
      <c r="I414" s="48">
        <f t="shared" si="126"/>
        <v>59.088345679999989</v>
      </c>
      <c r="J414" s="49">
        <v>3.2000000000000001E-2</v>
      </c>
      <c r="K414" s="50">
        <f t="shared" si="127"/>
        <v>0.92767999999999995</v>
      </c>
      <c r="L414" s="50" t="s">
        <v>1048</v>
      </c>
      <c r="M414" s="48">
        <v>53.15</v>
      </c>
      <c r="N414" s="48">
        <f t="shared" si="128"/>
        <v>38.852649999999997</v>
      </c>
      <c r="O414" s="48">
        <f t="shared" si="129"/>
        <v>1.2432847999999999</v>
      </c>
      <c r="P414" s="48">
        <f t="shared" si="130"/>
        <v>36.042826351999992</v>
      </c>
      <c r="Q414" s="48">
        <f t="shared" si="131"/>
        <v>95.131172031999981</v>
      </c>
      <c r="R414" s="41">
        <f t="shared" si="132"/>
        <v>133.94407911185596</v>
      </c>
    </row>
    <row r="415" spans="2:18" ht="51" x14ac:dyDescent="0.2">
      <c r="B415" s="61">
        <f>IF(F415&lt;&gt;"",1+MAX($B$21:B414),"")</f>
        <v>231</v>
      </c>
      <c r="C415" s="195"/>
      <c r="D415" s="73" t="s">
        <v>344</v>
      </c>
      <c r="E415" s="14" t="s">
        <v>74</v>
      </c>
      <c r="F415" s="19">
        <v>12.24</v>
      </c>
      <c r="G415" s="48">
        <f>26.54/(98.5/12)</f>
        <v>3.2332994923857865</v>
      </c>
      <c r="H415" s="48">
        <f t="shared" si="125"/>
        <v>3.0781011167512684</v>
      </c>
      <c r="I415" s="48">
        <f t="shared" si="126"/>
        <v>37.675957669035526</v>
      </c>
      <c r="J415" s="49">
        <v>3.2000000000000001E-2</v>
      </c>
      <c r="K415" s="50">
        <f t="shared" si="127"/>
        <v>0.39168000000000003</v>
      </c>
      <c r="L415" s="50" t="s">
        <v>1048</v>
      </c>
      <c r="M415" s="48">
        <v>53.15</v>
      </c>
      <c r="N415" s="48">
        <f t="shared" si="128"/>
        <v>38.852649999999997</v>
      </c>
      <c r="O415" s="48">
        <f t="shared" si="129"/>
        <v>1.2432847999999999</v>
      </c>
      <c r="P415" s="48">
        <f t="shared" si="130"/>
        <v>15.217805951999999</v>
      </c>
      <c r="Q415" s="48">
        <f t="shared" si="131"/>
        <v>52.893763621035525</v>
      </c>
      <c r="R415" s="41">
        <f t="shared" si="132"/>
        <v>74.326516382545194</v>
      </c>
    </row>
    <row r="416" spans="2:18" ht="51" x14ac:dyDescent="0.2">
      <c r="B416" s="61">
        <f>IF(F416&lt;&gt;"",1+MAX($B$21:B415),"")</f>
        <v>232</v>
      </c>
      <c r="C416" s="195"/>
      <c r="D416" s="73" t="s">
        <v>345</v>
      </c>
      <c r="E416" s="14" t="s">
        <v>74</v>
      </c>
      <c r="F416" s="19">
        <v>10.02</v>
      </c>
      <c r="G416" s="48">
        <f>49.59/(98.5/12)</f>
        <v>6.041421319796954</v>
      </c>
      <c r="H416" s="48">
        <f t="shared" si="125"/>
        <v>5.7514330964467</v>
      </c>
      <c r="I416" s="48">
        <f t="shared" si="126"/>
        <v>57.629359626395932</v>
      </c>
      <c r="J416" s="49">
        <v>3.2000000000000001E-2</v>
      </c>
      <c r="K416" s="50">
        <f t="shared" si="127"/>
        <v>0.32063999999999998</v>
      </c>
      <c r="L416" s="50" t="s">
        <v>1048</v>
      </c>
      <c r="M416" s="48">
        <v>53.15</v>
      </c>
      <c r="N416" s="48">
        <f t="shared" si="128"/>
        <v>38.852649999999997</v>
      </c>
      <c r="O416" s="48">
        <f t="shared" si="129"/>
        <v>1.2432847999999999</v>
      </c>
      <c r="P416" s="48">
        <f t="shared" si="130"/>
        <v>12.457713695999997</v>
      </c>
      <c r="Q416" s="48">
        <f t="shared" si="131"/>
        <v>70.087073322395923</v>
      </c>
      <c r="R416" s="41">
        <f t="shared" si="132"/>
        <v>98.250795226491263</v>
      </c>
    </row>
    <row r="417" spans="2:18" x14ac:dyDescent="0.2">
      <c r="B417" s="61">
        <f>IF(F417&lt;&gt;"",1+MAX($B$21:B416),"")</f>
        <v>233</v>
      </c>
      <c r="C417" s="195"/>
      <c r="D417" s="73" t="s">
        <v>327</v>
      </c>
      <c r="E417" s="14" t="s">
        <v>74</v>
      </c>
      <c r="F417" s="19">
        <v>51.87</v>
      </c>
      <c r="G417" s="48">
        <f>60.12/(98.5/12)</f>
        <v>7.3242639593908621</v>
      </c>
      <c r="H417" s="48">
        <f t="shared" si="125"/>
        <v>6.9726992893401007</v>
      </c>
      <c r="I417" s="48">
        <f t="shared" ref="I417" si="138">F417*H417</f>
        <v>361.67391213807099</v>
      </c>
      <c r="J417" s="49">
        <v>3.2000000000000001E-2</v>
      </c>
      <c r="K417" s="50">
        <f t="shared" ref="K417" si="139">F417*J417</f>
        <v>1.65984</v>
      </c>
      <c r="L417" s="50" t="s">
        <v>1048</v>
      </c>
      <c r="M417" s="48">
        <v>53.15</v>
      </c>
      <c r="N417" s="48">
        <f t="shared" si="128"/>
        <v>38.852649999999997</v>
      </c>
      <c r="O417" s="48">
        <f t="shared" ref="O417" si="140">J417*N417</f>
        <v>1.2432847999999999</v>
      </c>
      <c r="P417" s="48">
        <f t="shared" si="130"/>
        <v>64.48918257599999</v>
      </c>
      <c r="Q417" s="48">
        <f t="shared" si="131"/>
        <v>426.16309471407101</v>
      </c>
      <c r="R417" s="41">
        <f t="shared" si="132"/>
        <v>597.06751444555437</v>
      </c>
    </row>
    <row r="418" spans="2:18" x14ac:dyDescent="0.2">
      <c r="B418" s="61">
        <f>IF(F418&lt;&gt;"",1+MAX($B$21:B417),"")</f>
        <v>234</v>
      </c>
      <c r="C418" s="195"/>
      <c r="D418" s="73" t="s">
        <v>328</v>
      </c>
      <c r="E418" s="14" t="s">
        <v>74</v>
      </c>
      <c r="F418" s="19">
        <v>39.549999999999997</v>
      </c>
      <c r="G418" s="48">
        <f>52.5/(98.5/12)</f>
        <v>6.3959390862944154</v>
      </c>
      <c r="H418" s="48">
        <f t="shared" si="125"/>
        <v>6.0889340101522835</v>
      </c>
      <c r="I418" s="48">
        <f t="shared" ref="I418" si="141">F418*H418</f>
        <v>240.8173401015228</v>
      </c>
      <c r="J418" s="49">
        <v>3.2000000000000001E-2</v>
      </c>
      <c r="K418" s="50">
        <f t="shared" ref="K418" si="142">F418*J418</f>
        <v>1.2655999999999998</v>
      </c>
      <c r="L418" s="50" t="s">
        <v>1048</v>
      </c>
      <c r="M418" s="48">
        <v>53.15</v>
      </c>
      <c r="N418" s="48">
        <f t="shared" si="128"/>
        <v>38.852649999999997</v>
      </c>
      <c r="O418" s="48">
        <f t="shared" si="129"/>
        <v>1.2432847999999999</v>
      </c>
      <c r="P418" s="48">
        <f t="shared" si="130"/>
        <v>49.171913839999988</v>
      </c>
      <c r="Q418" s="48">
        <f t="shared" si="131"/>
        <v>289.9892539415228</v>
      </c>
      <c r="R418" s="41">
        <f t="shared" si="132"/>
        <v>406.4456547674464</v>
      </c>
    </row>
    <row r="419" spans="2:18" x14ac:dyDescent="0.2">
      <c r="B419" s="61" t="str">
        <f>IF(F419&lt;&gt;"",1+MAX($B$21:B418),"")</f>
        <v/>
      </c>
      <c r="C419" s="67"/>
      <c r="D419" s="75"/>
      <c r="E419" s="14"/>
      <c r="F419" s="19"/>
      <c r="G419" s="48"/>
      <c r="H419" s="48">
        <f t="shared" si="125"/>
        <v>0</v>
      </c>
      <c r="I419" s="48">
        <f t="shared" si="126"/>
        <v>0</v>
      </c>
      <c r="J419" s="49"/>
      <c r="K419" s="50">
        <f t="shared" si="127"/>
        <v>0</v>
      </c>
      <c r="L419" s="50"/>
      <c r="M419" s="48"/>
      <c r="N419" s="48">
        <f t="shared" si="128"/>
        <v>0</v>
      </c>
      <c r="O419" s="48">
        <f t="shared" si="129"/>
        <v>0</v>
      </c>
      <c r="P419" s="48">
        <f t="shared" si="130"/>
        <v>0</v>
      </c>
      <c r="Q419" s="48">
        <f t="shared" si="131"/>
        <v>0</v>
      </c>
      <c r="R419" s="41">
        <f t="shared" si="132"/>
        <v>0</v>
      </c>
    </row>
    <row r="420" spans="2:18" x14ac:dyDescent="0.2">
      <c r="B420" s="62" t="str">
        <f>IF(F420&lt;&gt;"",1+MAX($B$21:B419),"")</f>
        <v/>
      </c>
      <c r="C420" s="68"/>
      <c r="D420" s="74" t="s">
        <v>86</v>
      </c>
      <c r="E420" s="14"/>
      <c r="F420" s="19"/>
      <c r="G420" s="48"/>
      <c r="H420" s="48">
        <f t="shared" si="125"/>
        <v>0</v>
      </c>
      <c r="I420" s="48">
        <f t="shared" si="126"/>
        <v>0</v>
      </c>
      <c r="J420" s="49"/>
      <c r="K420" s="50">
        <f t="shared" si="127"/>
        <v>0</v>
      </c>
      <c r="L420" s="50"/>
      <c r="M420" s="48"/>
      <c r="N420" s="48">
        <f t="shared" si="128"/>
        <v>0</v>
      </c>
      <c r="O420" s="48">
        <f t="shared" si="129"/>
        <v>0</v>
      </c>
      <c r="P420" s="48">
        <f t="shared" si="130"/>
        <v>0</v>
      </c>
      <c r="Q420" s="48">
        <f t="shared" si="131"/>
        <v>0</v>
      </c>
      <c r="R420" s="41">
        <f t="shared" si="132"/>
        <v>0</v>
      </c>
    </row>
    <row r="421" spans="2:18" ht="63.75" x14ac:dyDescent="0.2">
      <c r="B421" s="61">
        <f>IF(F421&lt;&gt;"",1+MAX($B$21:B420),"")</f>
        <v>235</v>
      </c>
      <c r="C421" s="198" t="s">
        <v>509</v>
      </c>
      <c r="D421" s="73" t="s">
        <v>362</v>
      </c>
      <c r="E421" s="14" t="s">
        <v>72</v>
      </c>
      <c r="F421" s="19">
        <v>144.19</v>
      </c>
      <c r="G421" s="48">
        <v>5.2</v>
      </c>
      <c r="H421" s="48">
        <f t="shared" si="125"/>
        <v>4.9504000000000001</v>
      </c>
      <c r="I421" s="48">
        <f t="shared" si="126"/>
        <v>713.79817600000001</v>
      </c>
      <c r="J421" s="11">
        <v>0.14299999999999999</v>
      </c>
      <c r="K421" s="7">
        <f t="shared" ref="K421" si="143">F421*J421</f>
        <v>20.619169999999997</v>
      </c>
      <c r="L421" s="28" t="s">
        <v>1072</v>
      </c>
      <c r="M421" s="29">
        <v>49.5</v>
      </c>
      <c r="N421" s="48">
        <f t="shared" si="128"/>
        <v>36.1845</v>
      </c>
      <c r="O421" s="48">
        <f t="shared" ref="O421" si="144">J421*N421</f>
        <v>5.1743834999999994</v>
      </c>
      <c r="P421" s="48">
        <f t="shared" si="130"/>
        <v>746.0943568649999</v>
      </c>
      <c r="Q421" s="48">
        <f t="shared" si="131"/>
        <v>1459.8925328649998</v>
      </c>
      <c r="R421" s="41">
        <f t="shared" si="132"/>
        <v>2061.4244202127552</v>
      </c>
    </row>
    <row r="422" spans="2:18" ht="63.75" x14ac:dyDescent="0.2">
      <c r="B422" s="61">
        <f>IF(F422&lt;&gt;"",1+MAX($B$21:B421),"")</f>
        <v>236</v>
      </c>
      <c r="C422" s="196"/>
      <c r="D422" s="73" t="s">
        <v>363</v>
      </c>
      <c r="E422" s="14" t="s">
        <v>72</v>
      </c>
      <c r="F422" s="19">
        <v>46.72</v>
      </c>
      <c r="G422" s="48">
        <v>5.2</v>
      </c>
      <c r="H422" s="48">
        <f t="shared" si="125"/>
        <v>4.9504000000000001</v>
      </c>
      <c r="I422" s="48">
        <f t="shared" si="126"/>
        <v>231.28268800000001</v>
      </c>
      <c r="J422" s="11">
        <v>0.14299999999999999</v>
      </c>
      <c r="K422" s="7">
        <f t="shared" ref="K422:K424" si="145">F422*J422</f>
        <v>6.6809599999999989</v>
      </c>
      <c r="L422" s="28" t="s">
        <v>1072</v>
      </c>
      <c r="M422" s="29">
        <v>49.5</v>
      </c>
      <c r="N422" s="48">
        <f t="shared" si="128"/>
        <v>36.1845</v>
      </c>
      <c r="O422" s="48">
        <f t="shared" ref="O422:O424" si="146">J422*N422</f>
        <v>5.1743834999999994</v>
      </c>
      <c r="P422" s="48">
        <f t="shared" si="130"/>
        <v>241.74719711999995</v>
      </c>
      <c r="Q422" s="48">
        <f t="shared" si="131"/>
        <v>473.02988511999996</v>
      </c>
      <c r="R422" s="41">
        <f t="shared" si="132"/>
        <v>667.93639581343984</v>
      </c>
    </row>
    <row r="423" spans="2:18" ht="63.75" x14ac:dyDescent="0.2">
      <c r="B423" s="61">
        <f>IF(F423&lt;&gt;"",1+MAX($B$21:B422),"")</f>
        <v>237</v>
      </c>
      <c r="C423" s="196"/>
      <c r="D423" s="73" t="s">
        <v>364</v>
      </c>
      <c r="E423" s="14" t="s">
        <v>72</v>
      </c>
      <c r="F423" s="19">
        <v>38.42</v>
      </c>
      <c r="G423" s="48">
        <v>15.12</v>
      </c>
      <c r="H423" s="48">
        <f t="shared" si="125"/>
        <v>14.394239999999998</v>
      </c>
      <c r="I423" s="48">
        <f t="shared" si="126"/>
        <v>553.02670079999996</v>
      </c>
      <c r="J423" s="11">
        <v>0.14299999999999999</v>
      </c>
      <c r="K423" s="7">
        <f t="shared" si="145"/>
        <v>5.4940600000000002</v>
      </c>
      <c r="L423" s="28" t="s">
        <v>1072</v>
      </c>
      <c r="M423" s="29">
        <v>49.5</v>
      </c>
      <c r="N423" s="48">
        <f t="shared" si="128"/>
        <v>36.1845</v>
      </c>
      <c r="O423" s="48">
        <f t="shared" si="146"/>
        <v>5.1743834999999994</v>
      </c>
      <c r="P423" s="48">
        <f t="shared" si="130"/>
        <v>198.79981407</v>
      </c>
      <c r="Q423" s="48">
        <f t="shared" si="131"/>
        <v>751.82651486999998</v>
      </c>
      <c r="R423" s="41">
        <f t="shared" si="132"/>
        <v>1055.93381967501</v>
      </c>
    </row>
    <row r="424" spans="2:18" ht="63.75" x14ac:dyDescent="0.2">
      <c r="B424" s="61">
        <f>IF(F424&lt;&gt;"",1+MAX($B$21:B423),"")</f>
        <v>238</v>
      </c>
      <c r="C424" s="196"/>
      <c r="D424" s="73" t="s">
        <v>366</v>
      </c>
      <c r="E424" s="14" t="s">
        <v>72</v>
      </c>
      <c r="F424" s="19">
        <v>53.22</v>
      </c>
      <c r="G424" s="48">
        <v>5.2</v>
      </c>
      <c r="H424" s="48">
        <f t="shared" si="125"/>
        <v>4.9504000000000001</v>
      </c>
      <c r="I424" s="48">
        <f t="shared" si="126"/>
        <v>263.46028799999999</v>
      </c>
      <c r="J424" s="11">
        <v>0.14299999999999999</v>
      </c>
      <c r="K424" s="7">
        <f t="shared" si="145"/>
        <v>7.6104599999999989</v>
      </c>
      <c r="L424" s="28" t="s">
        <v>1072</v>
      </c>
      <c r="M424" s="29">
        <v>49.5</v>
      </c>
      <c r="N424" s="48">
        <f t="shared" si="128"/>
        <v>36.1845</v>
      </c>
      <c r="O424" s="48">
        <f t="shared" si="146"/>
        <v>5.1743834999999994</v>
      </c>
      <c r="P424" s="48">
        <f t="shared" si="130"/>
        <v>275.38068986999997</v>
      </c>
      <c r="Q424" s="48">
        <f t="shared" si="131"/>
        <v>538.84097786999996</v>
      </c>
      <c r="R424" s="41">
        <f t="shared" si="132"/>
        <v>760.86419060769003</v>
      </c>
    </row>
    <row r="425" spans="2:18" ht="38.25" x14ac:dyDescent="0.2">
      <c r="B425" s="61">
        <f>IF(F425&lt;&gt;"",1+MAX($B$21:B424),"")</f>
        <v>239</v>
      </c>
      <c r="C425" s="196"/>
      <c r="D425" s="73" t="s">
        <v>367</v>
      </c>
      <c r="E425" s="14" t="s">
        <v>72</v>
      </c>
      <c r="F425" s="19">
        <f>10*12</f>
        <v>120</v>
      </c>
      <c r="G425" s="12">
        <v>3.26</v>
      </c>
      <c r="H425" s="12">
        <f t="shared" si="125"/>
        <v>3.1035199999999996</v>
      </c>
      <c r="I425" s="12">
        <f t="shared" si="126"/>
        <v>372.42239999999993</v>
      </c>
      <c r="J425" s="11">
        <v>2.3E-2</v>
      </c>
      <c r="K425" s="7">
        <f t="shared" si="127"/>
        <v>2.76</v>
      </c>
      <c r="L425" s="28" t="s">
        <v>1052</v>
      </c>
      <c r="M425" s="29">
        <v>53.15</v>
      </c>
      <c r="N425" s="48">
        <f t="shared" si="128"/>
        <v>38.852649999999997</v>
      </c>
      <c r="O425" s="48">
        <f t="shared" si="129"/>
        <v>0.8936109499999999</v>
      </c>
      <c r="P425" s="48">
        <f t="shared" si="130"/>
        <v>107.23331399999999</v>
      </c>
      <c r="Q425" s="48">
        <f t="shared" si="131"/>
        <v>479.65571399999993</v>
      </c>
      <c r="R425" s="41">
        <f t="shared" si="132"/>
        <v>673.07257843799994</v>
      </c>
    </row>
    <row r="426" spans="2:18" ht="25.5" x14ac:dyDescent="0.2">
      <c r="B426" s="61">
        <f>IF(F426&lt;&gt;"",1+MAX($B$21:B425),"")</f>
        <v>240</v>
      </c>
      <c r="C426" s="196"/>
      <c r="D426" s="73" t="s">
        <v>369</v>
      </c>
      <c r="E426" s="14" t="s">
        <v>72</v>
      </c>
      <c r="F426" s="19">
        <f>10.3*10</f>
        <v>103</v>
      </c>
      <c r="G426" s="12">
        <v>3.26</v>
      </c>
      <c r="H426" s="12">
        <f t="shared" si="125"/>
        <v>3.1035199999999996</v>
      </c>
      <c r="I426" s="12">
        <f t="shared" ref="I426" si="147">F426*H426</f>
        <v>319.66255999999998</v>
      </c>
      <c r="J426" s="11">
        <v>2.3E-2</v>
      </c>
      <c r="K426" s="7">
        <f t="shared" ref="K426" si="148">F426*J426</f>
        <v>2.3689999999999998</v>
      </c>
      <c r="L426" s="28" t="s">
        <v>1052</v>
      </c>
      <c r="M426" s="29">
        <v>53.15</v>
      </c>
      <c r="N426" s="48">
        <f t="shared" si="128"/>
        <v>38.852649999999997</v>
      </c>
      <c r="O426" s="48">
        <f t="shared" si="129"/>
        <v>0.8936109499999999</v>
      </c>
      <c r="P426" s="48">
        <f t="shared" si="130"/>
        <v>92.041927849999993</v>
      </c>
      <c r="Q426" s="48">
        <f t="shared" si="131"/>
        <v>411.70448784999996</v>
      </c>
      <c r="R426" s="41">
        <f t="shared" si="132"/>
        <v>577.7206298259498</v>
      </c>
    </row>
    <row r="427" spans="2:18" ht="63.75" x14ac:dyDescent="0.2">
      <c r="B427" s="61">
        <f>IF(F427&lt;&gt;"",1+MAX($B$21:B426),"")</f>
        <v>241</v>
      </c>
      <c r="C427" s="197"/>
      <c r="D427" s="73" t="s">
        <v>368</v>
      </c>
      <c r="E427" s="14" t="s">
        <v>72</v>
      </c>
      <c r="F427" s="19">
        <f>4*4</f>
        <v>16</v>
      </c>
      <c r="G427" s="48">
        <v>3.5</v>
      </c>
      <c r="H427" s="48">
        <f t="shared" si="125"/>
        <v>3.3319999999999999</v>
      </c>
      <c r="I427" s="48">
        <f t="shared" si="126"/>
        <v>53.311999999999998</v>
      </c>
      <c r="J427" s="49">
        <v>3.7999999999999999E-2</v>
      </c>
      <c r="K427" s="50">
        <f t="shared" si="127"/>
        <v>0.60799999999999998</v>
      </c>
      <c r="L427" s="28" t="s">
        <v>1052</v>
      </c>
      <c r="M427" s="29">
        <v>53.15</v>
      </c>
      <c r="N427" s="48">
        <f t="shared" si="128"/>
        <v>38.852649999999997</v>
      </c>
      <c r="O427" s="48">
        <f t="shared" si="129"/>
        <v>1.4764006999999999</v>
      </c>
      <c r="P427" s="48">
        <f t="shared" si="130"/>
        <v>23.622411199999998</v>
      </c>
      <c r="Q427" s="48">
        <f t="shared" si="131"/>
        <v>76.9344112</v>
      </c>
      <c r="R427" s="41">
        <f t="shared" si="132"/>
        <v>108.15405758239999</v>
      </c>
    </row>
    <row r="428" spans="2:18" x14ac:dyDescent="0.2">
      <c r="B428" s="61" t="str">
        <f>IF(F428&lt;&gt;"",1+MAX($B$21:B427),"")</f>
        <v/>
      </c>
      <c r="C428" s="67"/>
      <c r="D428" s="73"/>
      <c r="E428" s="14"/>
      <c r="F428" s="19"/>
      <c r="G428" s="48"/>
      <c r="H428" s="48">
        <f t="shared" si="125"/>
        <v>0</v>
      </c>
      <c r="I428" s="48">
        <f t="shared" si="126"/>
        <v>0</v>
      </c>
      <c r="J428" s="49"/>
      <c r="K428" s="50">
        <f t="shared" si="127"/>
        <v>0</v>
      </c>
      <c r="L428" s="50"/>
      <c r="M428" s="48"/>
      <c r="N428" s="48">
        <f t="shared" si="128"/>
        <v>0</v>
      </c>
      <c r="O428" s="48">
        <f t="shared" si="129"/>
        <v>0</v>
      </c>
      <c r="P428" s="48">
        <f t="shared" si="130"/>
        <v>0</v>
      </c>
      <c r="Q428" s="48">
        <f t="shared" si="131"/>
        <v>0</v>
      </c>
      <c r="R428" s="41">
        <f t="shared" si="132"/>
        <v>0</v>
      </c>
    </row>
    <row r="429" spans="2:18" x14ac:dyDescent="0.2">
      <c r="B429" s="62" t="str">
        <f>IF(F429&lt;&gt;"",1+MAX($B$21:B428),"")</f>
        <v/>
      </c>
      <c r="C429" s="68"/>
      <c r="D429" s="74" t="s">
        <v>87</v>
      </c>
      <c r="E429" s="14"/>
      <c r="F429" s="19"/>
      <c r="G429" s="48"/>
      <c r="H429" s="48">
        <f t="shared" si="125"/>
        <v>0</v>
      </c>
      <c r="I429" s="48">
        <f t="shared" si="126"/>
        <v>0</v>
      </c>
      <c r="J429" s="49"/>
      <c r="K429" s="50">
        <f t="shared" si="127"/>
        <v>0</v>
      </c>
      <c r="L429" s="50"/>
      <c r="M429" s="48"/>
      <c r="N429" s="48">
        <f t="shared" si="128"/>
        <v>0</v>
      </c>
      <c r="O429" s="48">
        <f t="shared" si="129"/>
        <v>0</v>
      </c>
      <c r="P429" s="48">
        <f t="shared" si="130"/>
        <v>0</v>
      </c>
      <c r="Q429" s="48">
        <f t="shared" si="131"/>
        <v>0</v>
      </c>
      <c r="R429" s="41">
        <f t="shared" si="132"/>
        <v>0</v>
      </c>
    </row>
    <row r="430" spans="2:18" x14ac:dyDescent="0.2">
      <c r="B430" s="61" t="str">
        <f>IF(F430&lt;&gt;"",1+MAX($B$21:B429),"")</f>
        <v/>
      </c>
      <c r="C430" s="67"/>
      <c r="D430" s="75"/>
      <c r="E430" s="14"/>
      <c r="F430" s="19"/>
      <c r="G430" s="48"/>
      <c r="H430" s="48">
        <f t="shared" si="125"/>
        <v>0</v>
      </c>
      <c r="I430" s="48">
        <f t="shared" si="126"/>
        <v>0</v>
      </c>
      <c r="J430" s="49"/>
      <c r="K430" s="50">
        <f t="shared" si="127"/>
        <v>0</v>
      </c>
      <c r="L430" s="50"/>
      <c r="M430" s="48"/>
      <c r="N430" s="48">
        <f t="shared" si="128"/>
        <v>0</v>
      </c>
      <c r="O430" s="48">
        <f t="shared" si="129"/>
        <v>0</v>
      </c>
      <c r="P430" s="48">
        <f t="shared" si="130"/>
        <v>0</v>
      </c>
      <c r="Q430" s="48">
        <f t="shared" si="131"/>
        <v>0</v>
      </c>
      <c r="R430" s="41">
        <f t="shared" si="132"/>
        <v>0</v>
      </c>
    </row>
    <row r="431" spans="2:18" x14ac:dyDescent="0.2">
      <c r="B431" s="61" t="str">
        <f>IF(F431&lt;&gt;"",1+MAX($B$21:B430),"")</f>
        <v/>
      </c>
      <c r="C431" s="67"/>
      <c r="D431" s="75" t="s">
        <v>88</v>
      </c>
      <c r="E431" s="14"/>
      <c r="F431" s="19"/>
      <c r="G431" s="48"/>
      <c r="H431" s="48">
        <f t="shared" si="125"/>
        <v>0</v>
      </c>
      <c r="I431" s="48">
        <f t="shared" si="126"/>
        <v>0</v>
      </c>
      <c r="J431" s="49"/>
      <c r="K431" s="50">
        <f t="shared" si="127"/>
        <v>0</v>
      </c>
      <c r="L431" s="50"/>
      <c r="M431" s="48"/>
      <c r="N431" s="48">
        <f t="shared" si="128"/>
        <v>0</v>
      </c>
      <c r="O431" s="48">
        <f t="shared" si="129"/>
        <v>0</v>
      </c>
      <c r="P431" s="48">
        <f t="shared" si="130"/>
        <v>0</v>
      </c>
      <c r="Q431" s="48">
        <f t="shared" si="131"/>
        <v>0</v>
      </c>
      <c r="R431" s="41">
        <f t="shared" si="132"/>
        <v>0</v>
      </c>
    </row>
    <row r="432" spans="2:18" x14ac:dyDescent="0.2">
      <c r="B432" s="61">
        <f>IF(F432&lt;&gt;"",1+MAX($B$21:B431),"")</f>
        <v>242</v>
      </c>
      <c r="C432" s="198" t="s">
        <v>510</v>
      </c>
      <c r="D432" s="73" t="s">
        <v>89</v>
      </c>
      <c r="E432" s="14" t="s">
        <v>72</v>
      </c>
      <c r="F432" s="19">
        <f>(7.66*3.75+50*12.5+34*12.5+37*12.5+28.5*12.5)*2+(46*12.5+4*12.5)*1+(18.3*4.33*2)+(9.25*12.25+13*4+90*12.75+41.5*15.75)*1-540</f>
        <v>6004.8654999999999</v>
      </c>
      <c r="G432" s="27"/>
      <c r="H432" s="27">
        <f t="shared" si="125"/>
        <v>0</v>
      </c>
      <c r="I432" s="27">
        <f t="shared" si="126"/>
        <v>0</v>
      </c>
      <c r="J432" s="11">
        <v>3.6999999999999998E-2</v>
      </c>
      <c r="K432" s="7">
        <f t="shared" si="127"/>
        <v>222.18002349999998</v>
      </c>
      <c r="L432" s="28" t="s">
        <v>1052</v>
      </c>
      <c r="M432" s="29">
        <v>53.15</v>
      </c>
      <c r="N432" s="48">
        <f t="shared" si="128"/>
        <v>38.852649999999997</v>
      </c>
      <c r="O432" s="48">
        <f t="shared" si="129"/>
        <v>1.4375480499999997</v>
      </c>
      <c r="P432" s="48">
        <f t="shared" si="130"/>
        <v>8632.2826900372729</v>
      </c>
      <c r="Q432" s="48">
        <f t="shared" si="131"/>
        <v>8632.2826900372729</v>
      </c>
      <c r="R432" s="41">
        <f t="shared" si="132"/>
        <v>12318.267398683189</v>
      </c>
    </row>
    <row r="433" spans="2:18" x14ac:dyDescent="0.2">
      <c r="B433" s="61">
        <f>IF(F433&lt;&gt;"",1+MAX($B$21:B432),"")</f>
        <v>243</v>
      </c>
      <c r="C433" s="196"/>
      <c r="D433" s="79" t="s">
        <v>90</v>
      </c>
      <c r="E433" s="14" t="s">
        <v>79</v>
      </c>
      <c r="F433" s="19">
        <f>F432/32</f>
        <v>187.652046875</v>
      </c>
      <c r="G433" s="12">
        <v>17.78</v>
      </c>
      <c r="H433" s="48">
        <f t="shared" si="125"/>
        <v>16.926560000000002</v>
      </c>
      <c r="I433" s="48">
        <f t="shared" si="126"/>
        <v>3176.3036305525002</v>
      </c>
      <c r="J433" s="206"/>
      <c r="K433" s="207">
        <f t="shared" si="127"/>
        <v>0</v>
      </c>
      <c r="L433" s="207"/>
      <c r="M433" s="205"/>
      <c r="N433" s="205">
        <f t="shared" si="128"/>
        <v>0</v>
      </c>
      <c r="O433" s="205">
        <f t="shared" si="129"/>
        <v>0</v>
      </c>
      <c r="P433" s="205">
        <f t="shared" si="130"/>
        <v>0</v>
      </c>
      <c r="Q433" s="48">
        <f t="shared" si="131"/>
        <v>3176.3036305525002</v>
      </c>
      <c r="R433" s="41">
        <f t="shared" si="132"/>
        <v>4435.3903897035116</v>
      </c>
    </row>
    <row r="434" spans="2:18" x14ac:dyDescent="0.2">
      <c r="B434" s="61">
        <f>IF(F434&lt;&gt;"",1+MAX($B$21:B433),"")</f>
        <v>244</v>
      </c>
      <c r="C434" s="196"/>
      <c r="D434" s="79" t="s">
        <v>91</v>
      </c>
      <c r="E434" s="14" t="s">
        <v>92</v>
      </c>
      <c r="F434" s="19">
        <f>F432*0.031</f>
        <v>186.15083049999998</v>
      </c>
      <c r="G434" s="12">
        <v>7.48</v>
      </c>
      <c r="H434" s="48">
        <f t="shared" si="125"/>
        <v>7.1209600000000002</v>
      </c>
      <c r="I434" s="48">
        <f t="shared" si="126"/>
        <v>1325.5726179572798</v>
      </c>
      <c r="J434" s="206"/>
      <c r="K434" s="207">
        <f t="shared" si="127"/>
        <v>0</v>
      </c>
      <c r="L434" s="207"/>
      <c r="M434" s="205"/>
      <c r="N434" s="205">
        <f t="shared" si="128"/>
        <v>0</v>
      </c>
      <c r="O434" s="205">
        <f t="shared" si="129"/>
        <v>0</v>
      </c>
      <c r="P434" s="205">
        <f t="shared" si="130"/>
        <v>0</v>
      </c>
      <c r="Q434" s="48">
        <f t="shared" si="131"/>
        <v>1325.5726179572798</v>
      </c>
      <c r="R434" s="41">
        <f t="shared" si="132"/>
        <v>1851.0296037155456</v>
      </c>
    </row>
    <row r="435" spans="2:18" x14ac:dyDescent="0.2">
      <c r="B435" s="61">
        <f>IF(F435&lt;&gt;"",1+MAX($B$21:B434),"")</f>
        <v>245</v>
      </c>
      <c r="C435" s="196"/>
      <c r="D435" s="79" t="s">
        <v>125</v>
      </c>
      <c r="E435" s="14" t="s">
        <v>93</v>
      </c>
      <c r="F435" s="19">
        <f>F433*12/500</f>
        <v>4.5036491249999999</v>
      </c>
      <c r="G435" s="12">
        <v>6.59</v>
      </c>
      <c r="H435" s="48">
        <f t="shared" si="125"/>
        <v>6.2736799999999997</v>
      </c>
      <c r="I435" s="48">
        <f t="shared" si="126"/>
        <v>28.254453442529996</v>
      </c>
      <c r="J435" s="206"/>
      <c r="K435" s="207">
        <f t="shared" si="127"/>
        <v>0</v>
      </c>
      <c r="L435" s="207"/>
      <c r="M435" s="205"/>
      <c r="N435" s="205">
        <f t="shared" si="128"/>
        <v>0</v>
      </c>
      <c r="O435" s="205">
        <f t="shared" si="129"/>
        <v>0</v>
      </c>
      <c r="P435" s="205">
        <f t="shared" si="130"/>
        <v>0</v>
      </c>
      <c r="Q435" s="48">
        <f t="shared" si="131"/>
        <v>28.254453442529996</v>
      </c>
      <c r="R435" s="41">
        <f t="shared" si="132"/>
        <v>39.454518787148885</v>
      </c>
    </row>
    <row r="436" spans="2:18" x14ac:dyDescent="0.2">
      <c r="B436" s="61">
        <f>IF(F436&lt;&gt;"",1+MAX($B$21:B435),"")</f>
        <v>246</v>
      </c>
      <c r="C436" s="196"/>
      <c r="D436" s="79" t="s">
        <v>94</v>
      </c>
      <c r="E436" s="14" t="s">
        <v>95</v>
      </c>
      <c r="F436" s="19">
        <f>F433*48/280</f>
        <v>32.168922321428568</v>
      </c>
      <c r="G436" s="12">
        <v>4.9800000000000004</v>
      </c>
      <c r="H436" s="48">
        <f t="shared" si="125"/>
        <v>4.7409600000000003</v>
      </c>
      <c r="I436" s="48">
        <f t="shared" si="126"/>
        <v>152.51157396899998</v>
      </c>
      <c r="J436" s="206"/>
      <c r="K436" s="207">
        <f t="shared" si="127"/>
        <v>0</v>
      </c>
      <c r="L436" s="207"/>
      <c r="M436" s="205"/>
      <c r="N436" s="205">
        <f t="shared" si="128"/>
        <v>0</v>
      </c>
      <c r="O436" s="205">
        <f t="shared" si="129"/>
        <v>0</v>
      </c>
      <c r="P436" s="205">
        <f t="shared" si="130"/>
        <v>0</v>
      </c>
      <c r="Q436" s="48">
        <f t="shared" si="131"/>
        <v>152.51157396899998</v>
      </c>
      <c r="R436" s="41">
        <f t="shared" si="132"/>
        <v>212.96716189031156</v>
      </c>
    </row>
    <row r="437" spans="2:18" x14ac:dyDescent="0.2">
      <c r="B437" s="61">
        <f>IF(F437&lt;&gt;"",1+MAX($B$21:B436),"")</f>
        <v>247</v>
      </c>
      <c r="C437" s="196"/>
      <c r="D437" s="79" t="s">
        <v>96</v>
      </c>
      <c r="E437" s="14" t="s">
        <v>95</v>
      </c>
      <c r="F437" s="19">
        <f>F432*0.53</f>
        <v>3182.5787150000001</v>
      </c>
      <c r="G437" s="12">
        <v>0.92</v>
      </c>
      <c r="H437" s="48">
        <f t="shared" si="125"/>
        <v>0.87583999999999995</v>
      </c>
      <c r="I437" s="48">
        <f t="shared" si="126"/>
        <v>2787.4297417456</v>
      </c>
      <c r="J437" s="206"/>
      <c r="K437" s="207">
        <f t="shared" si="127"/>
        <v>0</v>
      </c>
      <c r="L437" s="207"/>
      <c r="M437" s="205"/>
      <c r="N437" s="205">
        <f t="shared" si="128"/>
        <v>0</v>
      </c>
      <c r="O437" s="205">
        <f t="shared" si="129"/>
        <v>0</v>
      </c>
      <c r="P437" s="205">
        <f t="shared" si="130"/>
        <v>0</v>
      </c>
      <c r="Q437" s="48">
        <f t="shared" si="131"/>
        <v>2787.4297417456</v>
      </c>
      <c r="R437" s="41">
        <f t="shared" si="132"/>
        <v>3892.366891373556</v>
      </c>
    </row>
    <row r="438" spans="2:18" x14ac:dyDescent="0.2">
      <c r="B438" s="61" t="str">
        <f>IF(F438&lt;&gt;"",1+MAX($B$21:B437),"")</f>
        <v/>
      </c>
      <c r="C438" s="196"/>
      <c r="D438" s="73"/>
      <c r="E438" s="14"/>
      <c r="F438" s="19"/>
      <c r="G438" s="48"/>
      <c r="H438" s="48">
        <f t="shared" si="125"/>
        <v>0</v>
      </c>
      <c r="I438" s="48">
        <f t="shared" si="126"/>
        <v>0</v>
      </c>
      <c r="J438" s="49"/>
      <c r="K438" s="50">
        <f t="shared" si="127"/>
        <v>0</v>
      </c>
      <c r="L438" s="50"/>
      <c r="M438" s="48"/>
      <c r="N438" s="48">
        <f t="shared" si="128"/>
        <v>0</v>
      </c>
      <c r="O438" s="48">
        <f t="shared" si="129"/>
        <v>0</v>
      </c>
      <c r="P438" s="48">
        <f t="shared" si="130"/>
        <v>0</v>
      </c>
      <c r="Q438" s="48">
        <f t="shared" si="131"/>
        <v>0</v>
      </c>
      <c r="R438" s="41">
        <f t="shared" si="132"/>
        <v>0</v>
      </c>
    </row>
    <row r="439" spans="2:18" x14ac:dyDescent="0.2">
      <c r="B439" s="61">
        <f>IF(F439&lt;&gt;"",1+MAX($B$21:B438),"")</f>
        <v>248</v>
      </c>
      <c r="C439" s="196"/>
      <c r="D439" s="73" t="s">
        <v>317</v>
      </c>
      <c r="E439" s="14" t="s">
        <v>72</v>
      </c>
      <c r="F439" s="19">
        <v>40</v>
      </c>
      <c r="G439" s="27"/>
      <c r="H439" s="27">
        <f t="shared" si="125"/>
        <v>0</v>
      </c>
      <c r="I439" s="27">
        <f t="shared" ref="I439:I444" si="149">F439*H439</f>
        <v>0</v>
      </c>
      <c r="J439" s="11">
        <v>3.6999999999999998E-2</v>
      </c>
      <c r="K439" s="7">
        <f t="shared" ref="K439:K444" si="150">F439*J439</f>
        <v>1.48</v>
      </c>
      <c r="L439" s="28" t="s">
        <v>1052</v>
      </c>
      <c r="M439" s="29">
        <v>53.15</v>
      </c>
      <c r="N439" s="48">
        <f t="shared" si="128"/>
        <v>38.852649999999997</v>
      </c>
      <c r="O439" s="48">
        <f t="shared" ref="O439:O444" si="151">J439*N439</f>
        <v>1.4375480499999997</v>
      </c>
      <c r="P439" s="48">
        <f t="shared" ref="P439:P444" si="152">F439*O439</f>
        <v>57.501921999999993</v>
      </c>
      <c r="Q439" s="48">
        <f t="shared" ref="Q439:Q444" si="153">I439+P439</f>
        <v>57.501921999999993</v>
      </c>
      <c r="R439" s="41">
        <f t="shared" ref="R439:R444" si="154">Q439+(I439*$Q$7)+(P439*$Q$8)+(Q439*$Q$9)+(Q439*$Q$11)+($Q$10*(Q439+(I439*$Q$7)+(P439*$Q$8)+(Q439*$Q$9)))</f>
        <v>82.055242693999986</v>
      </c>
    </row>
    <row r="440" spans="2:18" x14ac:dyDescent="0.2">
      <c r="B440" s="61">
        <f>IF(F440&lt;&gt;"",1+MAX($B$21:B439),"")</f>
        <v>249</v>
      </c>
      <c r="C440" s="196"/>
      <c r="D440" s="79" t="s">
        <v>90</v>
      </c>
      <c r="E440" s="14" t="s">
        <v>79</v>
      </c>
      <c r="F440" s="23">
        <f>F439/32</f>
        <v>1.25</v>
      </c>
      <c r="G440" s="12">
        <v>19.47</v>
      </c>
      <c r="H440" s="48">
        <f t="shared" si="125"/>
        <v>18.535439999999998</v>
      </c>
      <c r="I440" s="48">
        <f t="shared" si="149"/>
        <v>23.169299999999996</v>
      </c>
      <c r="J440" s="206"/>
      <c r="K440" s="207">
        <f t="shared" si="150"/>
        <v>0</v>
      </c>
      <c r="L440" s="207"/>
      <c r="M440" s="205"/>
      <c r="N440" s="205">
        <f t="shared" si="128"/>
        <v>0</v>
      </c>
      <c r="O440" s="205">
        <f t="shared" si="151"/>
        <v>0</v>
      </c>
      <c r="P440" s="205">
        <f t="shared" si="152"/>
        <v>0</v>
      </c>
      <c r="Q440" s="48">
        <f t="shared" si="153"/>
        <v>23.169299999999996</v>
      </c>
      <c r="R440" s="41">
        <f t="shared" si="154"/>
        <v>32.353610519999997</v>
      </c>
    </row>
    <row r="441" spans="2:18" x14ac:dyDescent="0.2">
      <c r="B441" s="61">
        <f>IF(F441&lt;&gt;"",1+MAX($B$21:B440),"")</f>
        <v>250</v>
      </c>
      <c r="C441" s="196"/>
      <c r="D441" s="79" t="s">
        <v>91</v>
      </c>
      <c r="E441" s="14" t="s">
        <v>92</v>
      </c>
      <c r="F441" s="23">
        <f>F439*0.031</f>
        <v>1.24</v>
      </c>
      <c r="G441" s="12">
        <v>7.48</v>
      </c>
      <c r="H441" s="48">
        <f t="shared" si="125"/>
        <v>7.1209600000000002</v>
      </c>
      <c r="I441" s="48">
        <f t="shared" si="149"/>
        <v>8.8299903999999998</v>
      </c>
      <c r="J441" s="206"/>
      <c r="K441" s="207">
        <f t="shared" si="150"/>
        <v>0</v>
      </c>
      <c r="L441" s="207"/>
      <c r="M441" s="205"/>
      <c r="N441" s="205">
        <f t="shared" si="128"/>
        <v>0</v>
      </c>
      <c r="O441" s="205">
        <f t="shared" si="151"/>
        <v>0</v>
      </c>
      <c r="P441" s="205">
        <f t="shared" si="152"/>
        <v>0</v>
      </c>
      <c r="Q441" s="48">
        <f t="shared" si="153"/>
        <v>8.8299903999999998</v>
      </c>
      <c r="R441" s="41">
        <f t="shared" si="154"/>
        <v>12.330198594560001</v>
      </c>
    </row>
    <row r="442" spans="2:18" x14ac:dyDescent="0.2">
      <c r="B442" s="61">
        <f>IF(F442&lt;&gt;"",1+MAX($B$21:B441),"")</f>
        <v>251</v>
      </c>
      <c r="C442" s="196"/>
      <c r="D442" s="79" t="s">
        <v>125</v>
      </c>
      <c r="E442" s="14" t="s">
        <v>93</v>
      </c>
      <c r="F442" s="137">
        <f>F440*12/500</f>
        <v>0.03</v>
      </c>
      <c r="G442" s="12">
        <v>6.59</v>
      </c>
      <c r="H442" s="48">
        <f t="shared" si="125"/>
        <v>6.2736799999999997</v>
      </c>
      <c r="I442" s="48">
        <f t="shared" si="149"/>
        <v>0.18821039999999997</v>
      </c>
      <c r="J442" s="206"/>
      <c r="K442" s="207">
        <f t="shared" si="150"/>
        <v>0</v>
      </c>
      <c r="L442" s="207"/>
      <c r="M442" s="205"/>
      <c r="N442" s="205">
        <f t="shared" si="128"/>
        <v>0</v>
      </c>
      <c r="O442" s="205">
        <f t="shared" si="151"/>
        <v>0</v>
      </c>
      <c r="P442" s="205">
        <f t="shared" si="152"/>
        <v>0</v>
      </c>
      <c r="Q442" s="48">
        <f t="shared" si="153"/>
        <v>0.18821039999999997</v>
      </c>
      <c r="R442" s="41">
        <f t="shared" si="154"/>
        <v>0.26281700255999996</v>
      </c>
    </row>
    <row r="443" spans="2:18" x14ac:dyDescent="0.2">
      <c r="B443" s="61">
        <f>IF(F443&lt;&gt;"",1+MAX($B$21:B442),"")</f>
        <v>252</v>
      </c>
      <c r="C443" s="196"/>
      <c r="D443" s="79" t="s">
        <v>94</v>
      </c>
      <c r="E443" s="14" t="s">
        <v>95</v>
      </c>
      <c r="F443" s="23">
        <f>F440*48/280</f>
        <v>0.21428571428571427</v>
      </c>
      <c r="G443" s="12">
        <v>4.9800000000000004</v>
      </c>
      <c r="H443" s="48">
        <f t="shared" si="125"/>
        <v>4.7409600000000003</v>
      </c>
      <c r="I443" s="48">
        <f t="shared" si="149"/>
        <v>1.0159199999999999</v>
      </c>
      <c r="J443" s="206"/>
      <c r="K443" s="207">
        <f t="shared" si="150"/>
        <v>0</v>
      </c>
      <c r="L443" s="207"/>
      <c r="M443" s="205"/>
      <c r="N443" s="205">
        <f t="shared" si="128"/>
        <v>0</v>
      </c>
      <c r="O443" s="205">
        <f t="shared" si="151"/>
        <v>0</v>
      </c>
      <c r="P443" s="205">
        <f t="shared" si="152"/>
        <v>0</v>
      </c>
      <c r="Q443" s="48">
        <f t="shared" si="153"/>
        <v>1.0159199999999999</v>
      </c>
      <c r="R443" s="41">
        <f t="shared" si="154"/>
        <v>1.4186306879999997</v>
      </c>
    </row>
    <row r="444" spans="2:18" x14ac:dyDescent="0.2">
      <c r="B444" s="61">
        <f>IF(F444&lt;&gt;"",1+MAX($B$21:B443),"")</f>
        <v>253</v>
      </c>
      <c r="C444" s="196"/>
      <c r="D444" s="79" t="s">
        <v>96</v>
      </c>
      <c r="E444" s="14" t="s">
        <v>95</v>
      </c>
      <c r="F444" s="19">
        <f>F439*0.53</f>
        <v>21.200000000000003</v>
      </c>
      <c r="G444" s="12">
        <v>0.92</v>
      </c>
      <c r="H444" s="48">
        <f t="shared" si="125"/>
        <v>0.87583999999999995</v>
      </c>
      <c r="I444" s="48">
        <f t="shared" si="149"/>
        <v>18.567808000000003</v>
      </c>
      <c r="J444" s="206"/>
      <c r="K444" s="207">
        <f t="shared" si="150"/>
        <v>0</v>
      </c>
      <c r="L444" s="207"/>
      <c r="M444" s="205"/>
      <c r="N444" s="205">
        <f t="shared" si="128"/>
        <v>0</v>
      </c>
      <c r="O444" s="205">
        <f t="shared" si="151"/>
        <v>0</v>
      </c>
      <c r="P444" s="205">
        <f t="shared" si="152"/>
        <v>0</v>
      </c>
      <c r="Q444" s="48">
        <f t="shared" si="153"/>
        <v>18.567808000000003</v>
      </c>
      <c r="R444" s="41">
        <f t="shared" si="154"/>
        <v>25.928087091200002</v>
      </c>
    </row>
    <row r="445" spans="2:18" x14ac:dyDescent="0.2">
      <c r="B445" s="61" t="str">
        <f>IF(F445&lt;&gt;"",1+MAX($B$21:B444),"")</f>
        <v/>
      </c>
      <c r="C445" s="196"/>
      <c r="D445" s="73"/>
      <c r="E445" s="14"/>
      <c r="F445" s="19"/>
      <c r="G445" s="48"/>
      <c r="H445" s="48">
        <f t="shared" si="125"/>
        <v>0</v>
      </c>
      <c r="I445" s="48">
        <f t="shared" si="126"/>
        <v>0</v>
      </c>
      <c r="J445" s="49"/>
      <c r="K445" s="50">
        <f t="shared" si="127"/>
        <v>0</v>
      </c>
      <c r="L445" s="50"/>
      <c r="M445" s="48"/>
      <c r="N445" s="48">
        <f t="shared" si="128"/>
        <v>0</v>
      </c>
      <c r="O445" s="48">
        <f t="shared" si="129"/>
        <v>0</v>
      </c>
      <c r="P445" s="48">
        <f t="shared" si="130"/>
        <v>0</v>
      </c>
      <c r="Q445" s="48">
        <f t="shared" si="131"/>
        <v>0</v>
      </c>
      <c r="R445" s="41">
        <f t="shared" si="132"/>
        <v>0</v>
      </c>
    </row>
    <row r="446" spans="2:18" x14ac:dyDescent="0.2">
      <c r="B446" s="61">
        <f>IF(F446&lt;&gt;"",1+MAX($B$21:B445),"")</f>
        <v>254</v>
      </c>
      <c r="C446" s="196"/>
      <c r="D446" s="73" t="s">
        <v>316</v>
      </c>
      <c r="E446" s="14" t="s">
        <v>72</v>
      </c>
      <c r="F446" s="19">
        <f>+(46*1.58+38*2.58+97*4.58+6*7.17)</f>
        <v>658</v>
      </c>
      <c r="G446" s="27"/>
      <c r="H446" s="27">
        <f t="shared" si="125"/>
        <v>0</v>
      </c>
      <c r="I446" s="27">
        <f t="shared" ref="I446:I451" si="155">F446*H446</f>
        <v>0</v>
      </c>
      <c r="J446" s="11">
        <v>3.6999999999999998E-2</v>
      </c>
      <c r="K446" s="7">
        <f t="shared" ref="K446:K451" si="156">F446*J446</f>
        <v>24.346</v>
      </c>
      <c r="L446" s="28" t="s">
        <v>1052</v>
      </c>
      <c r="M446" s="29">
        <v>53.15</v>
      </c>
      <c r="N446" s="48">
        <f t="shared" si="128"/>
        <v>38.852649999999997</v>
      </c>
      <c r="O446" s="48">
        <f t="shared" ref="O446:O451" si="157">J446*N446</f>
        <v>1.4375480499999997</v>
      </c>
      <c r="P446" s="48">
        <f t="shared" ref="P446:P451" si="158">F446*O446</f>
        <v>945.90661689999979</v>
      </c>
      <c r="Q446" s="48">
        <f t="shared" ref="Q446:Q451" si="159">I446+P446</f>
        <v>945.90661689999979</v>
      </c>
      <c r="R446" s="41">
        <f t="shared" ref="R446:R451" si="160">Q446+(I446*$Q$7)+(P446*$Q$8)+(Q446*$Q$9)+(Q446*$Q$11)+($Q$10*(Q446+(I446*$Q$7)+(P446*$Q$8)+(Q446*$Q$9)))</f>
        <v>1349.8087423162997</v>
      </c>
    </row>
    <row r="447" spans="2:18" x14ac:dyDescent="0.2">
      <c r="B447" s="61">
        <f>IF(F447&lt;&gt;"",1+MAX($B$21:B446),"")</f>
        <v>255</v>
      </c>
      <c r="C447" s="196"/>
      <c r="D447" s="79" t="s">
        <v>90</v>
      </c>
      <c r="E447" s="14" t="s">
        <v>79</v>
      </c>
      <c r="F447" s="19">
        <f>F446/32</f>
        <v>20.5625</v>
      </c>
      <c r="G447" s="48">
        <v>44.83</v>
      </c>
      <c r="H447" s="48">
        <f t="shared" si="125"/>
        <v>42.678159999999998</v>
      </c>
      <c r="I447" s="48">
        <f t="shared" si="155"/>
        <v>877.56966499999999</v>
      </c>
      <c r="J447" s="206"/>
      <c r="K447" s="207">
        <f t="shared" si="156"/>
        <v>0</v>
      </c>
      <c r="L447" s="207"/>
      <c r="M447" s="205"/>
      <c r="N447" s="205">
        <f t="shared" si="128"/>
        <v>0</v>
      </c>
      <c r="O447" s="205">
        <f t="shared" si="157"/>
        <v>0</v>
      </c>
      <c r="P447" s="205">
        <f t="shared" si="158"/>
        <v>0</v>
      </c>
      <c r="Q447" s="48">
        <f t="shared" si="159"/>
        <v>877.56966499999999</v>
      </c>
      <c r="R447" s="41">
        <f t="shared" si="160"/>
        <v>1225.4382802059999</v>
      </c>
    </row>
    <row r="448" spans="2:18" x14ac:dyDescent="0.2">
      <c r="B448" s="61">
        <f>IF(F448&lt;&gt;"",1+MAX($B$21:B447),"")</f>
        <v>256</v>
      </c>
      <c r="C448" s="196"/>
      <c r="D448" s="79" t="s">
        <v>91</v>
      </c>
      <c r="E448" s="14" t="s">
        <v>92</v>
      </c>
      <c r="F448" s="19">
        <f>F446*0.031</f>
        <v>20.398</v>
      </c>
      <c r="G448" s="12">
        <v>7.48</v>
      </c>
      <c r="H448" s="48">
        <f t="shared" si="125"/>
        <v>7.1209600000000002</v>
      </c>
      <c r="I448" s="48">
        <f t="shared" si="155"/>
        <v>145.25334208000001</v>
      </c>
      <c r="J448" s="206"/>
      <c r="K448" s="207">
        <f t="shared" si="156"/>
        <v>0</v>
      </c>
      <c r="L448" s="207"/>
      <c r="M448" s="205"/>
      <c r="N448" s="205">
        <f t="shared" si="128"/>
        <v>0</v>
      </c>
      <c r="O448" s="205">
        <f t="shared" si="157"/>
        <v>0</v>
      </c>
      <c r="P448" s="205">
        <f t="shared" si="158"/>
        <v>0</v>
      </c>
      <c r="Q448" s="48">
        <f t="shared" si="159"/>
        <v>145.25334208000001</v>
      </c>
      <c r="R448" s="41">
        <f t="shared" si="160"/>
        <v>202.83176688051202</v>
      </c>
    </row>
    <row r="449" spans="2:18" x14ac:dyDescent="0.2">
      <c r="B449" s="61">
        <f>IF(F449&lt;&gt;"",1+MAX($B$21:B448),"")</f>
        <v>257</v>
      </c>
      <c r="C449" s="196"/>
      <c r="D449" s="79" t="s">
        <v>125</v>
      </c>
      <c r="E449" s="14" t="s">
        <v>93</v>
      </c>
      <c r="F449" s="23">
        <f>F447*12/500</f>
        <v>0.49349999999999999</v>
      </c>
      <c r="G449" s="12">
        <v>6.59</v>
      </c>
      <c r="H449" s="48">
        <f t="shared" si="125"/>
        <v>6.2736799999999997</v>
      </c>
      <c r="I449" s="48">
        <f t="shared" si="155"/>
        <v>3.0960610799999997</v>
      </c>
      <c r="J449" s="206"/>
      <c r="K449" s="207">
        <f t="shared" si="156"/>
        <v>0</v>
      </c>
      <c r="L449" s="207"/>
      <c r="M449" s="205"/>
      <c r="N449" s="205">
        <f t="shared" si="128"/>
        <v>0</v>
      </c>
      <c r="O449" s="205">
        <f t="shared" si="157"/>
        <v>0</v>
      </c>
      <c r="P449" s="205">
        <f t="shared" si="158"/>
        <v>0</v>
      </c>
      <c r="Q449" s="48">
        <f t="shared" si="159"/>
        <v>3.0960610799999997</v>
      </c>
      <c r="R449" s="41">
        <f t="shared" si="160"/>
        <v>4.3233396921119995</v>
      </c>
    </row>
    <row r="450" spans="2:18" x14ac:dyDescent="0.2">
      <c r="B450" s="61">
        <f>IF(F450&lt;&gt;"",1+MAX($B$21:B449),"")</f>
        <v>258</v>
      </c>
      <c r="C450" s="196"/>
      <c r="D450" s="79" t="s">
        <v>94</v>
      </c>
      <c r="E450" s="14" t="s">
        <v>95</v>
      </c>
      <c r="F450" s="19">
        <f>F447*48/280</f>
        <v>3.5249999999999999</v>
      </c>
      <c r="G450" s="12">
        <v>4.9800000000000004</v>
      </c>
      <c r="H450" s="48">
        <f t="shared" si="125"/>
        <v>4.7409600000000003</v>
      </c>
      <c r="I450" s="48">
        <f t="shared" si="155"/>
        <v>16.711884000000001</v>
      </c>
      <c r="J450" s="206"/>
      <c r="K450" s="207">
        <f t="shared" si="156"/>
        <v>0</v>
      </c>
      <c r="L450" s="207"/>
      <c r="M450" s="205"/>
      <c r="N450" s="205">
        <f t="shared" si="128"/>
        <v>0</v>
      </c>
      <c r="O450" s="205">
        <f t="shared" si="157"/>
        <v>0</v>
      </c>
      <c r="P450" s="205">
        <f t="shared" si="158"/>
        <v>0</v>
      </c>
      <c r="Q450" s="48">
        <f t="shared" si="159"/>
        <v>16.711884000000001</v>
      </c>
      <c r="R450" s="41">
        <f t="shared" si="160"/>
        <v>23.336474817599999</v>
      </c>
    </row>
    <row r="451" spans="2:18" x14ac:dyDescent="0.2">
      <c r="B451" s="61">
        <f>IF(F451&lt;&gt;"",1+MAX($B$21:B450),"")</f>
        <v>259</v>
      </c>
      <c r="C451" s="196"/>
      <c r="D451" s="79" t="s">
        <v>96</v>
      </c>
      <c r="E451" s="14" t="s">
        <v>95</v>
      </c>
      <c r="F451" s="19">
        <f>F446*0.53</f>
        <v>348.74</v>
      </c>
      <c r="G451" s="12">
        <v>0.92</v>
      </c>
      <c r="H451" s="48">
        <f t="shared" si="125"/>
        <v>0.87583999999999995</v>
      </c>
      <c r="I451" s="48">
        <f t="shared" si="155"/>
        <v>305.44044159999999</v>
      </c>
      <c r="J451" s="206"/>
      <c r="K451" s="207">
        <f t="shared" si="156"/>
        <v>0</v>
      </c>
      <c r="L451" s="207"/>
      <c r="M451" s="205"/>
      <c r="N451" s="205">
        <f t="shared" si="128"/>
        <v>0</v>
      </c>
      <c r="O451" s="205">
        <f t="shared" si="157"/>
        <v>0</v>
      </c>
      <c r="P451" s="205">
        <f t="shared" si="158"/>
        <v>0</v>
      </c>
      <c r="Q451" s="48">
        <f t="shared" si="159"/>
        <v>305.44044159999999</v>
      </c>
      <c r="R451" s="41">
        <f t="shared" si="160"/>
        <v>426.51703265024003</v>
      </c>
    </row>
    <row r="452" spans="2:18" x14ac:dyDescent="0.2">
      <c r="B452" s="61" t="str">
        <f>IF(F452&lt;&gt;"",1+MAX($B$21:B451),"")</f>
        <v/>
      </c>
      <c r="C452" s="196"/>
      <c r="D452" s="73"/>
      <c r="E452" s="14"/>
      <c r="F452" s="19"/>
      <c r="G452" s="48"/>
      <c r="H452" s="48">
        <f t="shared" si="125"/>
        <v>0</v>
      </c>
      <c r="I452" s="48">
        <f t="shared" si="126"/>
        <v>0</v>
      </c>
      <c r="J452" s="49"/>
      <c r="K452" s="50">
        <f t="shared" si="127"/>
        <v>0</v>
      </c>
      <c r="L452" s="50"/>
      <c r="M452" s="48"/>
      <c r="N452" s="48">
        <f t="shared" si="128"/>
        <v>0</v>
      </c>
      <c r="O452" s="48">
        <f t="shared" si="129"/>
        <v>0</v>
      </c>
      <c r="P452" s="48">
        <f t="shared" si="130"/>
        <v>0</v>
      </c>
      <c r="Q452" s="48">
        <f t="shared" si="131"/>
        <v>0</v>
      </c>
      <c r="R452" s="41">
        <f t="shared" si="132"/>
        <v>0</v>
      </c>
    </row>
    <row r="453" spans="2:18" x14ac:dyDescent="0.2">
      <c r="B453" s="61">
        <f>IF(F453&lt;&gt;"",1+MAX($B$21:B452),"")</f>
        <v>260</v>
      </c>
      <c r="C453" s="196"/>
      <c r="D453" s="73" t="s">
        <v>97</v>
      </c>
      <c r="E453" s="14" t="s">
        <v>72</v>
      </c>
      <c r="F453" s="19">
        <v>255</v>
      </c>
      <c r="G453" s="27"/>
      <c r="H453" s="27">
        <f t="shared" si="125"/>
        <v>0</v>
      </c>
      <c r="I453" s="27">
        <f t="shared" ref="I453:I458" si="161">F453*H453</f>
        <v>0</v>
      </c>
      <c r="J453" s="11">
        <v>3.6999999999999998E-2</v>
      </c>
      <c r="K453" s="7">
        <f t="shared" ref="K453:K458" si="162">F453*J453</f>
        <v>9.4349999999999987</v>
      </c>
      <c r="L453" s="28" t="s">
        <v>1052</v>
      </c>
      <c r="M453" s="29">
        <v>53.15</v>
      </c>
      <c r="N453" s="48">
        <f t="shared" si="128"/>
        <v>38.852649999999997</v>
      </c>
      <c r="O453" s="48">
        <f t="shared" ref="O453:O458" si="163">J453*N453</f>
        <v>1.4375480499999997</v>
      </c>
      <c r="P453" s="48">
        <f t="shared" ref="P453:P458" si="164">F453*O453</f>
        <v>366.57475274999996</v>
      </c>
      <c r="Q453" s="48">
        <f t="shared" ref="Q453:Q458" si="165">I453+P453</f>
        <v>366.57475274999996</v>
      </c>
      <c r="R453" s="41">
        <f t="shared" ref="R453:R458" si="166">Q453+(I453*$Q$7)+(P453*$Q$8)+(Q453*$Q$9)+(Q453*$Q$11)+($Q$10*(Q453+(I453*$Q$7)+(P453*$Q$8)+(Q453*$Q$9)))</f>
        <v>523.10217217424986</v>
      </c>
    </row>
    <row r="454" spans="2:18" x14ac:dyDescent="0.2">
      <c r="B454" s="61">
        <f>IF(F454&lt;&gt;"",1+MAX($B$21:B453),"")</f>
        <v>261</v>
      </c>
      <c r="C454" s="196"/>
      <c r="D454" s="79" t="s">
        <v>90</v>
      </c>
      <c r="E454" s="14" t="s">
        <v>79</v>
      </c>
      <c r="F454" s="19">
        <f>F453/32</f>
        <v>7.96875</v>
      </c>
      <c r="G454" s="12">
        <v>21.35</v>
      </c>
      <c r="H454" s="48">
        <f t="shared" si="125"/>
        <v>20.325199999999999</v>
      </c>
      <c r="I454" s="48">
        <f t="shared" si="161"/>
        <v>161.96643749999998</v>
      </c>
      <c r="J454" s="206"/>
      <c r="K454" s="207">
        <f t="shared" si="162"/>
        <v>0</v>
      </c>
      <c r="L454" s="207"/>
      <c r="M454" s="205"/>
      <c r="N454" s="205">
        <f t="shared" si="128"/>
        <v>0</v>
      </c>
      <c r="O454" s="205">
        <f t="shared" si="163"/>
        <v>0</v>
      </c>
      <c r="P454" s="205">
        <f t="shared" si="164"/>
        <v>0</v>
      </c>
      <c r="Q454" s="48">
        <f t="shared" si="165"/>
        <v>161.96643749999998</v>
      </c>
      <c r="R454" s="41">
        <f t="shared" si="166"/>
        <v>226.16993332499999</v>
      </c>
    </row>
    <row r="455" spans="2:18" x14ac:dyDescent="0.2">
      <c r="B455" s="61">
        <f>IF(F455&lt;&gt;"",1+MAX($B$21:B454),"")</f>
        <v>262</v>
      </c>
      <c r="C455" s="196"/>
      <c r="D455" s="79" t="s">
        <v>91</v>
      </c>
      <c r="E455" s="14" t="s">
        <v>92</v>
      </c>
      <c r="F455" s="19">
        <f>F453*0.031</f>
        <v>7.9050000000000002</v>
      </c>
      <c r="G455" s="12">
        <v>7.48</v>
      </c>
      <c r="H455" s="48">
        <f t="shared" si="125"/>
        <v>7.1209600000000002</v>
      </c>
      <c r="I455" s="48">
        <f t="shared" si="161"/>
        <v>56.2911888</v>
      </c>
      <c r="J455" s="206"/>
      <c r="K455" s="207">
        <f t="shared" si="162"/>
        <v>0</v>
      </c>
      <c r="L455" s="207"/>
      <c r="M455" s="205"/>
      <c r="N455" s="205">
        <f t="shared" si="128"/>
        <v>0</v>
      </c>
      <c r="O455" s="205">
        <f t="shared" si="163"/>
        <v>0</v>
      </c>
      <c r="P455" s="205">
        <f t="shared" si="164"/>
        <v>0</v>
      </c>
      <c r="Q455" s="48">
        <f t="shared" si="165"/>
        <v>56.2911888</v>
      </c>
      <c r="R455" s="41">
        <f t="shared" si="166"/>
        <v>78.605016040319995</v>
      </c>
    </row>
    <row r="456" spans="2:18" x14ac:dyDescent="0.2">
      <c r="B456" s="61">
        <f>IF(F456&lt;&gt;"",1+MAX($B$21:B455),"")</f>
        <v>263</v>
      </c>
      <c r="C456" s="196"/>
      <c r="D456" s="79" t="s">
        <v>125</v>
      </c>
      <c r="E456" s="14" t="s">
        <v>93</v>
      </c>
      <c r="F456" s="23">
        <f>F454*12/500</f>
        <v>0.19125</v>
      </c>
      <c r="G456" s="12">
        <v>6.59</v>
      </c>
      <c r="H456" s="48">
        <f t="shared" si="125"/>
        <v>6.2736799999999997</v>
      </c>
      <c r="I456" s="48">
        <f t="shared" si="161"/>
        <v>1.1998412999999999</v>
      </c>
      <c r="J456" s="206"/>
      <c r="K456" s="207">
        <f t="shared" si="162"/>
        <v>0</v>
      </c>
      <c r="L456" s="207"/>
      <c r="M456" s="205"/>
      <c r="N456" s="205">
        <f t="shared" si="128"/>
        <v>0</v>
      </c>
      <c r="O456" s="205">
        <f t="shared" si="163"/>
        <v>0</v>
      </c>
      <c r="P456" s="205">
        <f t="shared" si="164"/>
        <v>0</v>
      </c>
      <c r="Q456" s="48">
        <f t="shared" si="165"/>
        <v>1.1998412999999999</v>
      </c>
      <c r="R456" s="41">
        <f t="shared" si="166"/>
        <v>1.6754583913199999</v>
      </c>
    </row>
    <row r="457" spans="2:18" x14ac:dyDescent="0.2">
      <c r="B457" s="61">
        <f>IF(F457&lt;&gt;"",1+MAX($B$21:B456),"")</f>
        <v>264</v>
      </c>
      <c r="C457" s="196"/>
      <c r="D457" s="79" t="s">
        <v>94</v>
      </c>
      <c r="E457" s="14" t="s">
        <v>95</v>
      </c>
      <c r="F457" s="23">
        <f>F454*48/280</f>
        <v>1.3660714285714286</v>
      </c>
      <c r="G457" s="12">
        <v>4.9800000000000004</v>
      </c>
      <c r="H457" s="48">
        <f t="shared" ref="H457:H458" si="167">G457*$T$2</f>
        <v>4.7409600000000003</v>
      </c>
      <c r="I457" s="48">
        <f t="shared" si="161"/>
        <v>6.476490000000001</v>
      </c>
      <c r="J457" s="206"/>
      <c r="K457" s="207">
        <f t="shared" si="162"/>
        <v>0</v>
      </c>
      <c r="L457" s="207"/>
      <c r="M457" s="205"/>
      <c r="N457" s="205">
        <f t="shared" ref="N457:N458" si="168">M457*$U$2</f>
        <v>0</v>
      </c>
      <c r="O457" s="205">
        <f t="shared" si="163"/>
        <v>0</v>
      </c>
      <c r="P457" s="205">
        <f t="shared" si="164"/>
        <v>0</v>
      </c>
      <c r="Q457" s="48">
        <f t="shared" si="165"/>
        <v>6.476490000000001</v>
      </c>
      <c r="R457" s="41">
        <f t="shared" si="166"/>
        <v>9.0437706360000014</v>
      </c>
    </row>
    <row r="458" spans="2:18" x14ac:dyDescent="0.2">
      <c r="B458" s="61">
        <f>IF(F458&lt;&gt;"",1+MAX($B$21:B457),"")</f>
        <v>265</v>
      </c>
      <c r="C458" s="196"/>
      <c r="D458" s="79" t="s">
        <v>96</v>
      </c>
      <c r="E458" s="14" t="s">
        <v>95</v>
      </c>
      <c r="F458" s="19">
        <f>F453*0.53</f>
        <v>135.15</v>
      </c>
      <c r="G458" s="12">
        <v>0.92</v>
      </c>
      <c r="H458" s="48">
        <f t="shared" si="167"/>
        <v>0.87583999999999995</v>
      </c>
      <c r="I458" s="48">
        <f t="shared" si="161"/>
        <v>118.369776</v>
      </c>
      <c r="J458" s="206"/>
      <c r="K458" s="207">
        <f t="shared" si="162"/>
        <v>0</v>
      </c>
      <c r="L458" s="207"/>
      <c r="M458" s="205"/>
      <c r="N458" s="205">
        <f t="shared" si="168"/>
        <v>0</v>
      </c>
      <c r="O458" s="205">
        <f t="shared" si="163"/>
        <v>0</v>
      </c>
      <c r="P458" s="205">
        <f t="shared" si="164"/>
        <v>0</v>
      </c>
      <c r="Q458" s="48">
        <f t="shared" si="165"/>
        <v>118.369776</v>
      </c>
      <c r="R458" s="41">
        <f t="shared" si="166"/>
        <v>165.29155520640001</v>
      </c>
    </row>
    <row r="459" spans="2:18" x14ac:dyDescent="0.2">
      <c r="B459" s="61" t="str">
        <f>IF(F459&lt;&gt;"",1+MAX($B$21:B458),"")</f>
        <v/>
      </c>
      <c r="C459" s="196"/>
      <c r="D459" s="73"/>
      <c r="E459" s="14"/>
      <c r="F459" s="19"/>
      <c r="G459" s="48"/>
      <c r="H459" s="48">
        <f t="shared" ref="H459:H520" si="169">G459*$T$2</f>
        <v>0</v>
      </c>
      <c r="I459" s="48">
        <f t="shared" ref="I459:I520" si="170">F459*H459</f>
        <v>0</v>
      </c>
      <c r="J459" s="49"/>
      <c r="K459" s="50">
        <f t="shared" ref="K459:K520" si="171">F459*J459</f>
        <v>0</v>
      </c>
      <c r="L459" s="50"/>
      <c r="M459" s="48"/>
      <c r="N459" s="48">
        <f t="shared" ref="N459:N520" si="172">M459*$U$2</f>
        <v>0</v>
      </c>
      <c r="O459" s="48">
        <f t="shared" ref="O459:O520" si="173">J459*N459</f>
        <v>0</v>
      </c>
      <c r="P459" s="48">
        <f t="shared" ref="P459:P520" si="174">F459*O459</f>
        <v>0</v>
      </c>
      <c r="Q459" s="48">
        <f t="shared" ref="Q459:Q520" si="175">I459+P459</f>
        <v>0</v>
      </c>
      <c r="R459" s="41">
        <f t="shared" ref="R459:R520" si="176">Q459+(I459*$Q$7)+(P459*$Q$8)+(Q459*$Q$9)+(Q459*$Q$11)+($Q$10*(Q459+(I459*$Q$7)+(P459*$Q$8)+(Q459*$Q$9)))</f>
        <v>0</v>
      </c>
    </row>
    <row r="460" spans="2:18" x14ac:dyDescent="0.2">
      <c r="B460" s="61">
        <f>IF(F460&lt;&gt;"",1+MAX($B$21:B459),"")</f>
        <v>266</v>
      </c>
      <c r="C460" s="196"/>
      <c r="D460" s="73" t="s">
        <v>98</v>
      </c>
      <c r="E460" s="14" t="s">
        <v>72</v>
      </c>
      <c r="F460" s="19">
        <v>285</v>
      </c>
      <c r="G460" s="27"/>
      <c r="H460" s="27">
        <f t="shared" si="169"/>
        <v>0</v>
      </c>
      <c r="I460" s="27">
        <f t="shared" si="170"/>
        <v>0</v>
      </c>
      <c r="J460" s="11">
        <v>3.6999999999999998E-2</v>
      </c>
      <c r="K460" s="7">
        <f t="shared" si="171"/>
        <v>10.545</v>
      </c>
      <c r="L460" s="28" t="s">
        <v>1052</v>
      </c>
      <c r="M460" s="29">
        <v>53.15</v>
      </c>
      <c r="N460" s="48">
        <f t="shared" si="172"/>
        <v>38.852649999999997</v>
      </c>
      <c r="O460" s="48">
        <f t="shared" si="173"/>
        <v>1.4375480499999997</v>
      </c>
      <c r="P460" s="48">
        <f t="shared" si="174"/>
        <v>409.7011942499999</v>
      </c>
      <c r="Q460" s="48">
        <f t="shared" si="175"/>
        <v>409.7011942499999</v>
      </c>
      <c r="R460" s="41">
        <f t="shared" si="176"/>
        <v>584.64360419474986</v>
      </c>
    </row>
    <row r="461" spans="2:18" x14ac:dyDescent="0.2">
      <c r="B461" s="61">
        <f>IF(F461&lt;&gt;"",1+MAX($B$21:B460),"")</f>
        <v>267</v>
      </c>
      <c r="C461" s="196"/>
      <c r="D461" s="79" t="s">
        <v>90</v>
      </c>
      <c r="E461" s="14" t="s">
        <v>79</v>
      </c>
      <c r="F461" s="19">
        <f>F460/32</f>
        <v>8.90625</v>
      </c>
      <c r="G461" s="12">
        <v>46.42</v>
      </c>
      <c r="H461" s="48">
        <f t="shared" si="169"/>
        <v>44.191839999999999</v>
      </c>
      <c r="I461" s="48">
        <f t="shared" si="170"/>
        <v>393.583575</v>
      </c>
      <c r="J461" s="206"/>
      <c r="K461" s="207">
        <f t="shared" si="171"/>
        <v>0</v>
      </c>
      <c r="L461" s="207"/>
      <c r="M461" s="205"/>
      <c r="N461" s="205">
        <f t="shared" si="172"/>
        <v>0</v>
      </c>
      <c r="O461" s="205">
        <f t="shared" si="173"/>
        <v>0</v>
      </c>
      <c r="P461" s="205">
        <f t="shared" si="174"/>
        <v>0</v>
      </c>
      <c r="Q461" s="48">
        <f t="shared" si="175"/>
        <v>393.583575</v>
      </c>
      <c r="R461" s="41">
        <f t="shared" si="176"/>
        <v>549.60010412999998</v>
      </c>
    </row>
    <row r="462" spans="2:18" x14ac:dyDescent="0.2">
      <c r="B462" s="61">
        <f>IF(F462&lt;&gt;"",1+MAX($B$21:B461),"")</f>
        <v>268</v>
      </c>
      <c r="C462" s="196"/>
      <c r="D462" s="79" t="s">
        <v>91</v>
      </c>
      <c r="E462" s="14" t="s">
        <v>92</v>
      </c>
      <c r="F462" s="19">
        <f>F460*0.031</f>
        <v>8.8349999999999991</v>
      </c>
      <c r="G462" s="12">
        <v>7.48</v>
      </c>
      <c r="H462" s="48">
        <f t="shared" si="169"/>
        <v>7.1209600000000002</v>
      </c>
      <c r="I462" s="48">
        <f t="shared" si="170"/>
        <v>62.913681599999997</v>
      </c>
      <c r="J462" s="206"/>
      <c r="K462" s="207">
        <f t="shared" si="171"/>
        <v>0</v>
      </c>
      <c r="L462" s="207"/>
      <c r="M462" s="205"/>
      <c r="N462" s="205">
        <f t="shared" si="172"/>
        <v>0</v>
      </c>
      <c r="O462" s="205">
        <f t="shared" si="173"/>
        <v>0</v>
      </c>
      <c r="P462" s="205">
        <f t="shared" si="174"/>
        <v>0</v>
      </c>
      <c r="Q462" s="48">
        <f t="shared" si="175"/>
        <v>62.913681599999997</v>
      </c>
      <c r="R462" s="41">
        <f t="shared" si="176"/>
        <v>87.852664986240001</v>
      </c>
    </row>
    <row r="463" spans="2:18" x14ac:dyDescent="0.2">
      <c r="B463" s="61">
        <f>IF(F463&lt;&gt;"",1+MAX($B$21:B462),"")</f>
        <v>269</v>
      </c>
      <c r="C463" s="196"/>
      <c r="D463" s="79" t="s">
        <v>125</v>
      </c>
      <c r="E463" s="14" t="s">
        <v>93</v>
      </c>
      <c r="F463" s="23">
        <f>F461*12/500</f>
        <v>0.21375</v>
      </c>
      <c r="G463" s="12">
        <v>6.59</v>
      </c>
      <c r="H463" s="48">
        <f t="shared" si="169"/>
        <v>6.2736799999999997</v>
      </c>
      <c r="I463" s="48">
        <f t="shared" si="170"/>
        <v>1.3409990999999999</v>
      </c>
      <c r="J463" s="206"/>
      <c r="K463" s="207">
        <f t="shared" si="171"/>
        <v>0</v>
      </c>
      <c r="L463" s="207"/>
      <c r="M463" s="205"/>
      <c r="N463" s="205">
        <f t="shared" si="172"/>
        <v>0</v>
      </c>
      <c r="O463" s="205">
        <f t="shared" si="173"/>
        <v>0</v>
      </c>
      <c r="P463" s="205">
        <f t="shared" si="174"/>
        <v>0</v>
      </c>
      <c r="Q463" s="48">
        <f t="shared" si="175"/>
        <v>1.3409990999999999</v>
      </c>
      <c r="R463" s="41">
        <f t="shared" si="176"/>
        <v>1.8725711432399996</v>
      </c>
    </row>
    <row r="464" spans="2:18" x14ac:dyDescent="0.2">
      <c r="B464" s="61">
        <f>IF(F464&lt;&gt;"",1+MAX($B$21:B463),"")</f>
        <v>270</v>
      </c>
      <c r="C464" s="196"/>
      <c r="D464" s="79" t="s">
        <v>94</v>
      </c>
      <c r="E464" s="14" t="s">
        <v>95</v>
      </c>
      <c r="F464" s="19">
        <f>F461*48/280</f>
        <v>1.5267857142857142</v>
      </c>
      <c r="G464" s="12">
        <v>4.9800000000000004</v>
      </c>
      <c r="H464" s="48">
        <f t="shared" si="169"/>
        <v>4.7409600000000003</v>
      </c>
      <c r="I464" s="48">
        <f t="shared" si="170"/>
        <v>7.2384300000000001</v>
      </c>
      <c r="J464" s="206"/>
      <c r="K464" s="207">
        <f t="shared" si="171"/>
        <v>0</v>
      </c>
      <c r="L464" s="207"/>
      <c r="M464" s="205"/>
      <c r="N464" s="205">
        <f t="shared" si="172"/>
        <v>0</v>
      </c>
      <c r="O464" s="205">
        <f t="shared" si="173"/>
        <v>0</v>
      </c>
      <c r="P464" s="205">
        <f t="shared" si="174"/>
        <v>0</v>
      </c>
      <c r="Q464" s="48">
        <f t="shared" si="175"/>
        <v>7.2384300000000001</v>
      </c>
      <c r="R464" s="41">
        <f t="shared" si="176"/>
        <v>10.107743651999998</v>
      </c>
    </row>
    <row r="465" spans="2:18" x14ac:dyDescent="0.2">
      <c r="B465" s="61">
        <f>IF(F465&lt;&gt;"",1+MAX($B$21:B464),"")</f>
        <v>271</v>
      </c>
      <c r="C465" s="196"/>
      <c r="D465" s="79" t="s">
        <v>96</v>
      </c>
      <c r="E465" s="14" t="s">
        <v>95</v>
      </c>
      <c r="F465" s="19">
        <f>F460*0.53</f>
        <v>151.05000000000001</v>
      </c>
      <c r="G465" s="12">
        <v>0.92</v>
      </c>
      <c r="H465" s="48">
        <f t="shared" si="169"/>
        <v>0.87583999999999995</v>
      </c>
      <c r="I465" s="48">
        <f t="shared" si="170"/>
        <v>132.29563200000001</v>
      </c>
      <c r="J465" s="206"/>
      <c r="K465" s="207">
        <f t="shared" si="171"/>
        <v>0</v>
      </c>
      <c r="L465" s="207"/>
      <c r="M465" s="205"/>
      <c r="N465" s="205">
        <f t="shared" si="172"/>
        <v>0</v>
      </c>
      <c r="O465" s="205">
        <f t="shared" si="173"/>
        <v>0</v>
      </c>
      <c r="P465" s="205">
        <f t="shared" si="174"/>
        <v>0</v>
      </c>
      <c r="Q465" s="48">
        <f t="shared" si="175"/>
        <v>132.29563200000001</v>
      </c>
      <c r="R465" s="41">
        <f t="shared" si="176"/>
        <v>184.73762052480001</v>
      </c>
    </row>
    <row r="466" spans="2:18" x14ac:dyDescent="0.2">
      <c r="B466" s="61" t="str">
        <f>IF(F466&lt;&gt;"",1+MAX($B$21:B465),"")</f>
        <v/>
      </c>
      <c r="C466" s="196"/>
      <c r="D466" s="73"/>
      <c r="E466" s="14"/>
      <c r="F466" s="19"/>
      <c r="G466" s="48"/>
      <c r="H466" s="48">
        <f t="shared" si="169"/>
        <v>0</v>
      </c>
      <c r="I466" s="48">
        <f t="shared" si="170"/>
        <v>0</v>
      </c>
      <c r="J466" s="49"/>
      <c r="K466" s="50">
        <f t="shared" si="171"/>
        <v>0</v>
      </c>
      <c r="L466" s="50"/>
      <c r="M466" s="48"/>
      <c r="N466" s="48">
        <f t="shared" si="172"/>
        <v>0</v>
      </c>
      <c r="O466" s="48">
        <f t="shared" si="173"/>
        <v>0</v>
      </c>
      <c r="P466" s="48">
        <f t="shared" si="174"/>
        <v>0</v>
      </c>
      <c r="Q466" s="48">
        <f t="shared" si="175"/>
        <v>0</v>
      </c>
      <c r="R466" s="41">
        <f t="shared" si="176"/>
        <v>0</v>
      </c>
    </row>
    <row r="467" spans="2:18" x14ac:dyDescent="0.2">
      <c r="B467" s="61">
        <f>IF(F467&lt;&gt;"",1+MAX($B$21:B466),"")</f>
        <v>272</v>
      </c>
      <c r="C467" s="196"/>
      <c r="D467" s="73" t="s">
        <v>379</v>
      </c>
      <c r="E467" s="14" t="s">
        <v>72</v>
      </c>
      <c r="F467" s="19">
        <v>40</v>
      </c>
      <c r="G467" s="27"/>
      <c r="H467" s="27">
        <f t="shared" si="169"/>
        <v>0</v>
      </c>
      <c r="I467" s="27">
        <f t="shared" si="170"/>
        <v>0</v>
      </c>
      <c r="J467" s="11">
        <v>3.6999999999999998E-2</v>
      </c>
      <c r="K467" s="7">
        <f t="shared" si="171"/>
        <v>1.48</v>
      </c>
      <c r="L467" s="28" t="s">
        <v>1052</v>
      </c>
      <c r="M467" s="29">
        <v>53.15</v>
      </c>
      <c r="N467" s="48">
        <f t="shared" si="172"/>
        <v>38.852649999999997</v>
      </c>
      <c r="O467" s="48">
        <f t="shared" si="173"/>
        <v>1.4375480499999997</v>
      </c>
      <c r="P467" s="48">
        <f t="shared" si="174"/>
        <v>57.501921999999993</v>
      </c>
      <c r="Q467" s="48">
        <f t="shared" si="175"/>
        <v>57.501921999999993</v>
      </c>
      <c r="R467" s="41">
        <f t="shared" si="176"/>
        <v>82.055242693999986</v>
      </c>
    </row>
    <row r="468" spans="2:18" x14ac:dyDescent="0.2">
      <c r="B468" s="61">
        <f>IF(F468&lt;&gt;"",1+MAX($B$21:B467),"")</f>
        <v>273</v>
      </c>
      <c r="C468" s="196"/>
      <c r="D468" s="79" t="s">
        <v>90</v>
      </c>
      <c r="E468" s="14" t="s">
        <v>79</v>
      </c>
      <c r="F468" s="23">
        <f>F467/32</f>
        <v>1.25</v>
      </c>
      <c r="G468" s="48">
        <f>12.99/15*32</f>
        <v>27.712</v>
      </c>
      <c r="H468" s="48">
        <f t="shared" si="169"/>
        <v>26.381823999999998</v>
      </c>
      <c r="I468" s="48">
        <f t="shared" si="170"/>
        <v>32.97728</v>
      </c>
      <c r="J468" s="206"/>
      <c r="K468" s="207">
        <f t="shared" si="171"/>
        <v>0</v>
      </c>
      <c r="L468" s="207"/>
      <c r="M468" s="205"/>
      <c r="N468" s="205">
        <f t="shared" si="172"/>
        <v>0</v>
      </c>
      <c r="O468" s="205">
        <f t="shared" si="173"/>
        <v>0</v>
      </c>
      <c r="P468" s="205">
        <f t="shared" si="174"/>
        <v>0</v>
      </c>
      <c r="Q468" s="48">
        <f t="shared" si="175"/>
        <v>32.97728</v>
      </c>
      <c r="R468" s="41">
        <f t="shared" si="176"/>
        <v>46.049473792000001</v>
      </c>
    </row>
    <row r="469" spans="2:18" x14ac:dyDescent="0.2">
      <c r="B469" s="61">
        <f>IF(F469&lt;&gt;"",1+MAX($B$21:B468),"")</f>
        <v>274</v>
      </c>
      <c r="C469" s="196"/>
      <c r="D469" s="79" t="s">
        <v>91</v>
      </c>
      <c r="E469" s="14" t="s">
        <v>92</v>
      </c>
      <c r="F469" s="23">
        <f>F467*0.031</f>
        <v>1.24</v>
      </c>
      <c r="G469" s="12">
        <v>7.48</v>
      </c>
      <c r="H469" s="48">
        <f t="shared" si="169"/>
        <v>7.1209600000000002</v>
      </c>
      <c r="I469" s="48">
        <f t="shared" si="170"/>
        <v>8.8299903999999998</v>
      </c>
      <c r="J469" s="206"/>
      <c r="K469" s="207">
        <f t="shared" si="171"/>
        <v>0</v>
      </c>
      <c r="L469" s="207"/>
      <c r="M469" s="205"/>
      <c r="N469" s="205">
        <f t="shared" si="172"/>
        <v>0</v>
      </c>
      <c r="O469" s="205">
        <f t="shared" si="173"/>
        <v>0</v>
      </c>
      <c r="P469" s="205">
        <f t="shared" si="174"/>
        <v>0</v>
      </c>
      <c r="Q469" s="48">
        <f t="shared" si="175"/>
        <v>8.8299903999999998</v>
      </c>
      <c r="R469" s="41">
        <f t="shared" si="176"/>
        <v>12.330198594560001</v>
      </c>
    </row>
    <row r="470" spans="2:18" x14ac:dyDescent="0.2">
      <c r="B470" s="61">
        <f>IF(F470&lt;&gt;"",1+MAX($B$21:B469),"")</f>
        <v>275</v>
      </c>
      <c r="C470" s="196"/>
      <c r="D470" s="79" t="s">
        <v>125</v>
      </c>
      <c r="E470" s="14" t="s">
        <v>93</v>
      </c>
      <c r="F470" s="137">
        <f>F468*12/500</f>
        <v>0.03</v>
      </c>
      <c r="G470" s="12">
        <v>6.59</v>
      </c>
      <c r="H470" s="48">
        <f t="shared" si="169"/>
        <v>6.2736799999999997</v>
      </c>
      <c r="I470" s="48">
        <f t="shared" si="170"/>
        <v>0.18821039999999997</v>
      </c>
      <c r="J470" s="206"/>
      <c r="K470" s="207">
        <f t="shared" si="171"/>
        <v>0</v>
      </c>
      <c r="L470" s="207"/>
      <c r="M470" s="205"/>
      <c r="N470" s="205">
        <f t="shared" si="172"/>
        <v>0</v>
      </c>
      <c r="O470" s="205">
        <f t="shared" si="173"/>
        <v>0</v>
      </c>
      <c r="P470" s="205">
        <f t="shared" si="174"/>
        <v>0</v>
      </c>
      <c r="Q470" s="48">
        <f t="shared" si="175"/>
        <v>0.18821039999999997</v>
      </c>
      <c r="R470" s="41">
        <f t="shared" si="176"/>
        <v>0.26281700255999996</v>
      </c>
    </row>
    <row r="471" spans="2:18" x14ac:dyDescent="0.2">
      <c r="B471" s="61">
        <f>IF(F471&lt;&gt;"",1+MAX($B$21:B470),"")</f>
        <v>276</v>
      </c>
      <c r="C471" s="196"/>
      <c r="D471" s="79" t="s">
        <v>94</v>
      </c>
      <c r="E471" s="14" t="s">
        <v>95</v>
      </c>
      <c r="F471" s="23">
        <f>F468*48/280</f>
        <v>0.21428571428571427</v>
      </c>
      <c r="G471" s="12">
        <v>4.9800000000000004</v>
      </c>
      <c r="H471" s="48">
        <f t="shared" si="169"/>
        <v>4.7409600000000003</v>
      </c>
      <c r="I471" s="48">
        <f t="shared" si="170"/>
        <v>1.0159199999999999</v>
      </c>
      <c r="J471" s="206"/>
      <c r="K471" s="207">
        <f t="shared" si="171"/>
        <v>0</v>
      </c>
      <c r="L471" s="207"/>
      <c r="M471" s="205"/>
      <c r="N471" s="205">
        <f t="shared" si="172"/>
        <v>0</v>
      </c>
      <c r="O471" s="205">
        <f t="shared" si="173"/>
        <v>0</v>
      </c>
      <c r="P471" s="205">
        <f t="shared" si="174"/>
        <v>0</v>
      </c>
      <c r="Q471" s="48">
        <f t="shared" si="175"/>
        <v>1.0159199999999999</v>
      </c>
      <c r="R471" s="41">
        <f t="shared" si="176"/>
        <v>1.4186306879999997</v>
      </c>
    </row>
    <row r="472" spans="2:18" x14ac:dyDescent="0.2">
      <c r="B472" s="61">
        <f>IF(F472&lt;&gt;"",1+MAX($B$21:B471),"")</f>
        <v>277</v>
      </c>
      <c r="C472" s="197"/>
      <c r="D472" s="79" t="s">
        <v>96</v>
      </c>
      <c r="E472" s="14" t="s">
        <v>95</v>
      </c>
      <c r="F472" s="19">
        <f>F467*0.53</f>
        <v>21.200000000000003</v>
      </c>
      <c r="G472" s="12">
        <v>0.92</v>
      </c>
      <c r="H472" s="48">
        <f t="shared" si="169"/>
        <v>0.87583999999999995</v>
      </c>
      <c r="I472" s="48">
        <f t="shared" si="170"/>
        <v>18.567808000000003</v>
      </c>
      <c r="J472" s="206"/>
      <c r="K472" s="207">
        <f t="shared" si="171"/>
        <v>0</v>
      </c>
      <c r="L472" s="207"/>
      <c r="M472" s="205"/>
      <c r="N472" s="205">
        <f t="shared" si="172"/>
        <v>0</v>
      </c>
      <c r="O472" s="205">
        <f t="shared" si="173"/>
        <v>0</v>
      </c>
      <c r="P472" s="205">
        <f t="shared" si="174"/>
        <v>0</v>
      </c>
      <c r="Q472" s="48">
        <f t="shared" si="175"/>
        <v>18.567808000000003</v>
      </c>
      <c r="R472" s="41">
        <f t="shared" si="176"/>
        <v>25.928087091200002</v>
      </c>
    </row>
    <row r="473" spans="2:18" x14ac:dyDescent="0.2">
      <c r="B473" s="61" t="str">
        <f>IF(F473&lt;&gt;"",1+MAX($B$21:B472),"")</f>
        <v/>
      </c>
      <c r="C473" s="67"/>
      <c r="D473" s="73"/>
      <c r="E473" s="14"/>
      <c r="F473" s="19"/>
      <c r="G473" s="48"/>
      <c r="H473" s="48">
        <f t="shared" si="169"/>
        <v>0</v>
      </c>
      <c r="I473" s="48">
        <f t="shared" si="170"/>
        <v>0</v>
      </c>
      <c r="J473" s="49"/>
      <c r="K473" s="50">
        <f t="shared" si="171"/>
        <v>0</v>
      </c>
      <c r="L473" s="50"/>
      <c r="M473" s="48"/>
      <c r="N473" s="48">
        <f t="shared" si="172"/>
        <v>0</v>
      </c>
      <c r="O473" s="48">
        <f t="shared" si="173"/>
        <v>0</v>
      </c>
      <c r="P473" s="48">
        <f t="shared" si="174"/>
        <v>0</v>
      </c>
      <c r="Q473" s="48">
        <f t="shared" si="175"/>
        <v>0</v>
      </c>
      <c r="R473" s="41">
        <f t="shared" si="176"/>
        <v>0</v>
      </c>
    </row>
    <row r="474" spans="2:18" x14ac:dyDescent="0.2">
      <c r="B474" s="61" t="str">
        <f>IF(F474&lt;&gt;"",1+MAX($B$21:B473),"")</f>
        <v/>
      </c>
      <c r="C474" s="198" t="s">
        <v>373</v>
      </c>
      <c r="D474" s="75" t="s">
        <v>99</v>
      </c>
      <c r="E474" s="14"/>
      <c r="F474" s="19"/>
      <c r="G474" s="48"/>
      <c r="H474" s="48">
        <f t="shared" si="169"/>
        <v>0</v>
      </c>
      <c r="I474" s="48">
        <f t="shared" si="170"/>
        <v>0</v>
      </c>
      <c r="J474" s="49"/>
      <c r="K474" s="50">
        <f t="shared" si="171"/>
        <v>0</v>
      </c>
      <c r="L474" s="50"/>
      <c r="M474" s="48"/>
      <c r="N474" s="48">
        <f t="shared" si="172"/>
        <v>0</v>
      </c>
      <c r="O474" s="48">
        <f t="shared" si="173"/>
        <v>0</v>
      </c>
      <c r="P474" s="48">
        <f t="shared" si="174"/>
        <v>0</v>
      </c>
      <c r="Q474" s="48">
        <f t="shared" si="175"/>
        <v>0</v>
      </c>
      <c r="R474" s="41">
        <f t="shared" si="176"/>
        <v>0</v>
      </c>
    </row>
    <row r="475" spans="2:18" x14ac:dyDescent="0.2">
      <c r="B475" s="61">
        <f>IF(F475&lt;&gt;"",1+MAX($B$21:B474),"")</f>
        <v>278</v>
      </c>
      <c r="C475" s="196"/>
      <c r="D475" s="73" t="s">
        <v>100</v>
      </c>
      <c r="E475" s="14" t="s">
        <v>72</v>
      </c>
      <c r="F475" s="19">
        <v>516</v>
      </c>
      <c r="G475" s="27"/>
      <c r="H475" s="27">
        <f t="shared" si="169"/>
        <v>0</v>
      </c>
      <c r="I475" s="27">
        <f t="shared" si="170"/>
        <v>0</v>
      </c>
      <c r="J475" s="11">
        <v>6.5000000000000002E-2</v>
      </c>
      <c r="K475" s="7">
        <f t="shared" si="171"/>
        <v>33.54</v>
      </c>
      <c r="L475" s="28" t="s">
        <v>1052</v>
      </c>
      <c r="M475" s="29">
        <v>53.15</v>
      </c>
      <c r="N475" s="48">
        <f t="shared" si="172"/>
        <v>38.852649999999997</v>
      </c>
      <c r="O475" s="48">
        <f t="shared" si="173"/>
        <v>2.5254222500000001</v>
      </c>
      <c r="P475" s="48">
        <f t="shared" si="174"/>
        <v>1303.1178810000001</v>
      </c>
      <c r="Q475" s="48">
        <f t="shared" si="175"/>
        <v>1303.1178810000001</v>
      </c>
      <c r="R475" s="41">
        <f t="shared" si="176"/>
        <v>1859.5492161870002</v>
      </c>
    </row>
    <row r="476" spans="2:18" x14ac:dyDescent="0.2">
      <c r="B476" s="61">
        <f>IF(F476&lt;&gt;"",1+MAX($B$21:B475),"")</f>
        <v>279</v>
      </c>
      <c r="C476" s="196"/>
      <c r="D476" s="79" t="s">
        <v>90</v>
      </c>
      <c r="E476" s="14" t="s">
        <v>79</v>
      </c>
      <c r="F476" s="19">
        <f>F475/32</f>
        <v>16.125</v>
      </c>
      <c r="G476" s="12">
        <v>17.78</v>
      </c>
      <c r="H476" s="48">
        <f t="shared" si="169"/>
        <v>16.926560000000002</v>
      </c>
      <c r="I476" s="48">
        <f t="shared" si="170"/>
        <v>272.94078000000002</v>
      </c>
      <c r="J476" s="206"/>
      <c r="K476" s="207">
        <f t="shared" si="171"/>
        <v>0</v>
      </c>
      <c r="L476" s="207"/>
      <c r="M476" s="205"/>
      <c r="N476" s="205">
        <f t="shared" si="172"/>
        <v>0</v>
      </c>
      <c r="O476" s="205">
        <f t="shared" si="173"/>
        <v>0</v>
      </c>
      <c r="P476" s="205">
        <f t="shared" si="174"/>
        <v>0</v>
      </c>
      <c r="Q476" s="48">
        <f t="shared" si="175"/>
        <v>272.94078000000002</v>
      </c>
      <c r="R476" s="41">
        <f t="shared" si="176"/>
        <v>381.13450519200006</v>
      </c>
    </row>
    <row r="477" spans="2:18" x14ac:dyDescent="0.2">
      <c r="B477" s="61">
        <f>IF(F477&lt;&gt;"",1+MAX($B$21:B476),"")</f>
        <v>280</v>
      </c>
      <c r="C477" s="196"/>
      <c r="D477" s="79" t="s">
        <v>91</v>
      </c>
      <c r="E477" s="14" t="s">
        <v>92</v>
      </c>
      <c r="F477" s="19">
        <f>F475*0.031</f>
        <v>15.996</v>
      </c>
      <c r="G477" s="12">
        <v>7.48</v>
      </c>
      <c r="H477" s="48">
        <f t="shared" si="169"/>
        <v>7.1209600000000002</v>
      </c>
      <c r="I477" s="48">
        <f t="shared" si="170"/>
        <v>113.90687616000001</v>
      </c>
      <c r="J477" s="206"/>
      <c r="K477" s="207">
        <f t="shared" si="171"/>
        <v>0</v>
      </c>
      <c r="L477" s="207"/>
      <c r="M477" s="205"/>
      <c r="N477" s="205">
        <f t="shared" si="172"/>
        <v>0</v>
      </c>
      <c r="O477" s="205">
        <f t="shared" si="173"/>
        <v>0</v>
      </c>
      <c r="P477" s="205">
        <f t="shared" si="174"/>
        <v>0</v>
      </c>
      <c r="Q477" s="48">
        <f t="shared" si="175"/>
        <v>113.90687616000001</v>
      </c>
      <c r="R477" s="41">
        <f t="shared" si="176"/>
        <v>159.05956186982402</v>
      </c>
    </row>
    <row r="478" spans="2:18" x14ac:dyDescent="0.2">
      <c r="B478" s="61">
        <f>IF(F478&lt;&gt;"",1+MAX($B$21:B477),"")</f>
        <v>281</v>
      </c>
      <c r="C478" s="196"/>
      <c r="D478" s="79" t="s">
        <v>125</v>
      </c>
      <c r="E478" s="14" t="s">
        <v>93</v>
      </c>
      <c r="F478" s="23">
        <f>F476*12/500</f>
        <v>0.38700000000000001</v>
      </c>
      <c r="G478" s="12">
        <v>6.59</v>
      </c>
      <c r="H478" s="48">
        <f t="shared" si="169"/>
        <v>6.2736799999999997</v>
      </c>
      <c r="I478" s="48">
        <f t="shared" si="170"/>
        <v>2.4279141599999998</v>
      </c>
      <c r="J478" s="206"/>
      <c r="K478" s="207">
        <f t="shared" si="171"/>
        <v>0</v>
      </c>
      <c r="L478" s="207"/>
      <c r="M478" s="205"/>
      <c r="N478" s="205">
        <f t="shared" si="172"/>
        <v>0</v>
      </c>
      <c r="O478" s="205">
        <f t="shared" si="173"/>
        <v>0</v>
      </c>
      <c r="P478" s="205">
        <f t="shared" si="174"/>
        <v>0</v>
      </c>
      <c r="Q478" s="48">
        <f t="shared" si="175"/>
        <v>2.4279141599999998</v>
      </c>
      <c r="R478" s="41">
        <f t="shared" si="176"/>
        <v>3.3903393330239999</v>
      </c>
    </row>
    <row r="479" spans="2:18" x14ac:dyDescent="0.2">
      <c r="B479" s="61">
        <f>IF(F479&lt;&gt;"",1+MAX($B$21:B478),"")</f>
        <v>282</v>
      </c>
      <c r="C479" s="196"/>
      <c r="D479" s="79" t="s">
        <v>94</v>
      </c>
      <c r="E479" s="14" t="s">
        <v>95</v>
      </c>
      <c r="F479" s="19">
        <f>F476*48/280</f>
        <v>2.7642857142857142</v>
      </c>
      <c r="G479" s="12">
        <v>4.9800000000000004</v>
      </c>
      <c r="H479" s="48">
        <f t="shared" si="169"/>
        <v>4.7409600000000003</v>
      </c>
      <c r="I479" s="48">
        <f t="shared" si="170"/>
        <v>13.105368</v>
      </c>
      <c r="J479" s="206"/>
      <c r="K479" s="207">
        <f t="shared" si="171"/>
        <v>0</v>
      </c>
      <c r="L479" s="207"/>
      <c r="M479" s="205"/>
      <c r="N479" s="205">
        <f t="shared" si="172"/>
        <v>0</v>
      </c>
      <c r="O479" s="205">
        <f t="shared" si="173"/>
        <v>0</v>
      </c>
      <c r="P479" s="205">
        <f t="shared" si="174"/>
        <v>0</v>
      </c>
      <c r="Q479" s="48">
        <f t="shared" si="175"/>
        <v>13.105368</v>
      </c>
      <c r="R479" s="41">
        <f t="shared" si="176"/>
        <v>18.300335875200002</v>
      </c>
    </row>
    <row r="480" spans="2:18" x14ac:dyDescent="0.2">
      <c r="B480" s="61">
        <f>IF(F480&lt;&gt;"",1+MAX($B$21:B479),"")</f>
        <v>283</v>
      </c>
      <c r="C480" s="196"/>
      <c r="D480" s="79" t="s">
        <v>96</v>
      </c>
      <c r="E480" s="14" t="s">
        <v>95</v>
      </c>
      <c r="F480" s="19">
        <f>F475*0.53</f>
        <v>273.48</v>
      </c>
      <c r="G480" s="12">
        <v>0.92</v>
      </c>
      <c r="H480" s="48">
        <f t="shared" si="169"/>
        <v>0.87583999999999995</v>
      </c>
      <c r="I480" s="48">
        <f t="shared" si="170"/>
        <v>239.52472320000001</v>
      </c>
      <c r="J480" s="206"/>
      <c r="K480" s="207">
        <f t="shared" si="171"/>
        <v>0</v>
      </c>
      <c r="L480" s="207"/>
      <c r="M480" s="205"/>
      <c r="N480" s="205">
        <f t="shared" si="172"/>
        <v>0</v>
      </c>
      <c r="O480" s="205">
        <f t="shared" si="173"/>
        <v>0</v>
      </c>
      <c r="P480" s="205">
        <f t="shared" si="174"/>
        <v>0</v>
      </c>
      <c r="Q480" s="48">
        <f t="shared" si="175"/>
        <v>239.52472320000001</v>
      </c>
      <c r="R480" s="41">
        <f t="shared" si="176"/>
        <v>334.47232347647997</v>
      </c>
    </row>
    <row r="481" spans="2:18" x14ac:dyDescent="0.2">
      <c r="B481" s="61">
        <f>IF(F481&lt;&gt;"",1+MAX($B$21:B480),"")</f>
        <v>284</v>
      </c>
      <c r="C481" s="196"/>
      <c r="D481" s="79" t="s">
        <v>329</v>
      </c>
      <c r="E481" s="14" t="s">
        <v>74</v>
      </c>
      <c r="F481" s="19">
        <f>F475/1.33</f>
        <v>387.96992481203006</v>
      </c>
      <c r="G481" s="48"/>
      <c r="H481" s="48">
        <f t="shared" si="169"/>
        <v>0</v>
      </c>
      <c r="I481" s="48">
        <f t="shared" si="170"/>
        <v>0</v>
      </c>
      <c r="J481" s="49"/>
      <c r="K481" s="50">
        <f t="shared" si="171"/>
        <v>0</v>
      </c>
      <c r="L481" s="50"/>
      <c r="M481" s="48"/>
      <c r="N481" s="48">
        <f t="shared" si="172"/>
        <v>0</v>
      </c>
      <c r="O481" s="48">
        <f t="shared" si="173"/>
        <v>0</v>
      </c>
      <c r="P481" s="48">
        <f t="shared" si="174"/>
        <v>0</v>
      </c>
      <c r="Q481" s="48">
        <f t="shared" si="175"/>
        <v>0</v>
      </c>
      <c r="R481" s="41">
        <f t="shared" si="176"/>
        <v>0</v>
      </c>
    </row>
    <row r="482" spans="2:18" x14ac:dyDescent="0.2">
      <c r="B482" s="61" t="str">
        <f>IF(F482&lt;&gt;"",1+MAX($B$21:B481),"")</f>
        <v/>
      </c>
      <c r="C482" s="196"/>
      <c r="D482" s="79"/>
      <c r="E482" s="14"/>
      <c r="F482" s="19"/>
      <c r="G482" s="48"/>
      <c r="H482" s="48">
        <f t="shared" si="169"/>
        <v>0</v>
      </c>
      <c r="I482" s="48">
        <f t="shared" si="170"/>
        <v>0</v>
      </c>
      <c r="J482" s="49"/>
      <c r="K482" s="50">
        <f t="shared" si="171"/>
        <v>0</v>
      </c>
      <c r="L482" s="50"/>
      <c r="M482" s="48"/>
      <c r="N482" s="48">
        <f t="shared" si="172"/>
        <v>0</v>
      </c>
      <c r="O482" s="48">
        <f t="shared" si="173"/>
        <v>0</v>
      </c>
      <c r="P482" s="48">
        <f t="shared" si="174"/>
        <v>0</v>
      </c>
      <c r="Q482" s="48">
        <f t="shared" si="175"/>
        <v>0</v>
      </c>
      <c r="R482" s="41">
        <f t="shared" si="176"/>
        <v>0</v>
      </c>
    </row>
    <row r="483" spans="2:18" x14ac:dyDescent="0.2">
      <c r="B483" s="61">
        <f>IF(F483&lt;&gt;"",1+MAX($B$21:B482),"")</f>
        <v>285</v>
      </c>
      <c r="C483" s="196"/>
      <c r="D483" s="73" t="s">
        <v>330</v>
      </c>
      <c r="E483" s="14" t="s">
        <v>72</v>
      </c>
      <c r="F483" s="19">
        <v>286.04000000000002</v>
      </c>
      <c r="G483" s="27"/>
      <c r="H483" s="27">
        <f t="shared" si="169"/>
        <v>0</v>
      </c>
      <c r="I483" s="27">
        <f t="shared" si="170"/>
        <v>0</v>
      </c>
      <c r="J483" s="11">
        <v>6.5000000000000002E-2</v>
      </c>
      <c r="K483" s="7">
        <f t="shared" si="171"/>
        <v>18.592600000000001</v>
      </c>
      <c r="L483" s="28" t="s">
        <v>1052</v>
      </c>
      <c r="M483" s="29">
        <v>53.15</v>
      </c>
      <c r="N483" s="48">
        <f t="shared" si="172"/>
        <v>38.852649999999997</v>
      </c>
      <c r="O483" s="48">
        <f t="shared" si="173"/>
        <v>2.5254222500000001</v>
      </c>
      <c r="P483" s="48">
        <f t="shared" si="174"/>
        <v>722.37178039000003</v>
      </c>
      <c r="Q483" s="48">
        <f t="shared" si="175"/>
        <v>722.37178039000003</v>
      </c>
      <c r="R483" s="41">
        <f t="shared" si="176"/>
        <v>1030.82453061653</v>
      </c>
    </row>
    <row r="484" spans="2:18" x14ac:dyDescent="0.2">
      <c r="B484" s="61">
        <f>IF(F484&lt;&gt;"",1+MAX($B$21:B483),"")</f>
        <v>286</v>
      </c>
      <c r="C484" s="196"/>
      <c r="D484" s="79" t="s">
        <v>90</v>
      </c>
      <c r="E484" s="14" t="s">
        <v>79</v>
      </c>
      <c r="F484" s="19">
        <f>F483/32</f>
        <v>8.9387500000000006</v>
      </c>
      <c r="G484" s="12">
        <v>17.78</v>
      </c>
      <c r="H484" s="48">
        <f t="shared" si="169"/>
        <v>16.926560000000002</v>
      </c>
      <c r="I484" s="48">
        <f t="shared" si="170"/>
        <v>151.30228820000002</v>
      </c>
      <c r="J484" s="206"/>
      <c r="K484" s="207">
        <f t="shared" si="171"/>
        <v>0</v>
      </c>
      <c r="L484" s="207"/>
      <c r="M484" s="205"/>
      <c r="N484" s="205">
        <f t="shared" si="172"/>
        <v>0</v>
      </c>
      <c r="O484" s="205">
        <f t="shared" si="173"/>
        <v>0</v>
      </c>
      <c r="P484" s="205">
        <f t="shared" si="174"/>
        <v>0</v>
      </c>
      <c r="Q484" s="48">
        <f t="shared" si="175"/>
        <v>151.30228820000002</v>
      </c>
      <c r="R484" s="41">
        <f t="shared" si="176"/>
        <v>211.27851524248004</v>
      </c>
    </row>
    <row r="485" spans="2:18" x14ac:dyDescent="0.2">
      <c r="B485" s="61">
        <f>IF(F485&lt;&gt;"",1+MAX($B$21:B484),"")</f>
        <v>287</v>
      </c>
      <c r="C485" s="196"/>
      <c r="D485" s="79" t="s">
        <v>91</v>
      </c>
      <c r="E485" s="14" t="s">
        <v>92</v>
      </c>
      <c r="F485" s="19">
        <f>F483*0.031</f>
        <v>8.8672400000000007</v>
      </c>
      <c r="G485" s="12">
        <v>7.48</v>
      </c>
      <c r="H485" s="48">
        <f t="shared" si="169"/>
        <v>7.1209600000000002</v>
      </c>
      <c r="I485" s="48">
        <f t="shared" si="170"/>
        <v>63.143261350400003</v>
      </c>
      <c r="J485" s="206"/>
      <c r="K485" s="207">
        <f t="shared" si="171"/>
        <v>0</v>
      </c>
      <c r="L485" s="207"/>
      <c r="M485" s="205"/>
      <c r="N485" s="205">
        <f t="shared" si="172"/>
        <v>0</v>
      </c>
      <c r="O485" s="205">
        <f t="shared" si="173"/>
        <v>0</v>
      </c>
      <c r="P485" s="205">
        <f t="shared" si="174"/>
        <v>0</v>
      </c>
      <c r="Q485" s="48">
        <f t="shared" si="175"/>
        <v>63.143261350400003</v>
      </c>
      <c r="R485" s="41">
        <f t="shared" si="176"/>
        <v>88.173250149698561</v>
      </c>
    </row>
    <row r="486" spans="2:18" x14ac:dyDescent="0.2">
      <c r="B486" s="61">
        <f>IF(F486&lt;&gt;"",1+MAX($B$21:B485),"")</f>
        <v>288</v>
      </c>
      <c r="C486" s="196"/>
      <c r="D486" s="79" t="s">
        <v>125</v>
      </c>
      <c r="E486" s="14" t="s">
        <v>93</v>
      </c>
      <c r="F486" s="23">
        <f>F484*12/500</f>
        <v>0.21453000000000003</v>
      </c>
      <c r="G486" s="12">
        <v>6.59</v>
      </c>
      <c r="H486" s="48">
        <f t="shared" si="169"/>
        <v>6.2736799999999997</v>
      </c>
      <c r="I486" s="48">
        <f t="shared" si="170"/>
        <v>1.3458925704000002</v>
      </c>
      <c r="J486" s="206"/>
      <c r="K486" s="207">
        <f t="shared" si="171"/>
        <v>0</v>
      </c>
      <c r="L486" s="207"/>
      <c r="M486" s="205"/>
      <c r="N486" s="205">
        <f t="shared" si="172"/>
        <v>0</v>
      </c>
      <c r="O486" s="205">
        <f t="shared" si="173"/>
        <v>0</v>
      </c>
      <c r="P486" s="205">
        <f t="shared" si="174"/>
        <v>0</v>
      </c>
      <c r="Q486" s="48">
        <f t="shared" si="175"/>
        <v>1.3458925704000002</v>
      </c>
      <c r="R486" s="41">
        <f t="shared" si="176"/>
        <v>1.8794043853065603</v>
      </c>
    </row>
    <row r="487" spans="2:18" x14ac:dyDescent="0.2">
      <c r="B487" s="61">
        <f>IF(F487&lt;&gt;"",1+MAX($B$21:B486),"")</f>
        <v>289</v>
      </c>
      <c r="C487" s="196"/>
      <c r="D487" s="79" t="s">
        <v>94</v>
      </c>
      <c r="E487" s="14" t="s">
        <v>95</v>
      </c>
      <c r="F487" s="19">
        <f>F484*48/280</f>
        <v>1.532357142857143</v>
      </c>
      <c r="G487" s="12">
        <v>4.9800000000000004</v>
      </c>
      <c r="H487" s="48">
        <f t="shared" si="169"/>
        <v>4.7409600000000003</v>
      </c>
      <c r="I487" s="48">
        <f t="shared" si="170"/>
        <v>7.2648439200000006</v>
      </c>
      <c r="J487" s="206"/>
      <c r="K487" s="207">
        <f t="shared" si="171"/>
        <v>0</v>
      </c>
      <c r="L487" s="207"/>
      <c r="M487" s="205"/>
      <c r="N487" s="205">
        <f t="shared" si="172"/>
        <v>0</v>
      </c>
      <c r="O487" s="205">
        <f t="shared" si="173"/>
        <v>0</v>
      </c>
      <c r="P487" s="205">
        <f t="shared" si="174"/>
        <v>0</v>
      </c>
      <c r="Q487" s="48">
        <f t="shared" si="175"/>
        <v>7.2648439200000006</v>
      </c>
      <c r="R487" s="41">
        <f t="shared" si="176"/>
        <v>10.144628049887999</v>
      </c>
    </row>
    <row r="488" spans="2:18" x14ac:dyDescent="0.2">
      <c r="B488" s="61">
        <f>IF(F488&lt;&gt;"",1+MAX($B$21:B487),"")</f>
        <v>290</v>
      </c>
      <c r="C488" s="196"/>
      <c r="D488" s="79" t="s">
        <v>96</v>
      </c>
      <c r="E488" s="14" t="s">
        <v>95</v>
      </c>
      <c r="F488" s="19">
        <f>F483*0.53</f>
        <v>151.60120000000001</v>
      </c>
      <c r="G488" s="12">
        <v>0.92</v>
      </c>
      <c r="H488" s="48">
        <f t="shared" si="169"/>
        <v>0.87583999999999995</v>
      </c>
      <c r="I488" s="48">
        <f t="shared" si="170"/>
        <v>132.77839500799999</v>
      </c>
      <c r="J488" s="206"/>
      <c r="K488" s="207">
        <f t="shared" si="171"/>
        <v>0</v>
      </c>
      <c r="L488" s="207"/>
      <c r="M488" s="205"/>
      <c r="N488" s="205">
        <f t="shared" si="172"/>
        <v>0</v>
      </c>
      <c r="O488" s="205">
        <f t="shared" si="173"/>
        <v>0</v>
      </c>
      <c r="P488" s="205">
        <f t="shared" si="174"/>
        <v>0</v>
      </c>
      <c r="Q488" s="48">
        <f t="shared" si="175"/>
        <v>132.77839500799999</v>
      </c>
      <c r="R488" s="41">
        <f t="shared" si="176"/>
        <v>185.41175078917118</v>
      </c>
    </row>
    <row r="489" spans="2:18" x14ac:dyDescent="0.2">
      <c r="B489" s="61">
        <f>IF(F489&lt;&gt;"",1+MAX($B$21:B488),"")</f>
        <v>291</v>
      </c>
      <c r="C489" s="197"/>
      <c r="D489" s="79" t="s">
        <v>329</v>
      </c>
      <c r="E489" s="14" t="s">
        <v>74</v>
      </c>
      <c r="F489" s="19">
        <f>452/1.33+(27/4*5+28/4*8)</f>
        <v>429.59962406015035</v>
      </c>
      <c r="G489" s="48"/>
      <c r="H489" s="48">
        <f t="shared" si="169"/>
        <v>0</v>
      </c>
      <c r="I489" s="48">
        <f t="shared" si="170"/>
        <v>0</v>
      </c>
      <c r="J489" s="49"/>
      <c r="K489" s="50">
        <f t="shared" si="171"/>
        <v>0</v>
      </c>
      <c r="L489" s="50"/>
      <c r="M489" s="48"/>
      <c r="N489" s="48">
        <f t="shared" si="172"/>
        <v>0</v>
      </c>
      <c r="O489" s="48">
        <f t="shared" si="173"/>
        <v>0</v>
      </c>
      <c r="P489" s="48">
        <f t="shared" si="174"/>
        <v>0</v>
      </c>
      <c r="Q489" s="48">
        <f t="shared" si="175"/>
        <v>0</v>
      </c>
      <c r="R489" s="41">
        <f t="shared" si="176"/>
        <v>0</v>
      </c>
    </row>
    <row r="490" spans="2:18" x14ac:dyDescent="0.2">
      <c r="B490" s="61" t="str">
        <f>IF(F490&lt;&gt;"",1+MAX($B$21:B489),"")</f>
        <v/>
      </c>
      <c r="C490" s="67"/>
      <c r="D490" s="79"/>
      <c r="E490" s="14"/>
      <c r="F490" s="19"/>
      <c r="G490" s="48"/>
      <c r="H490" s="48">
        <f t="shared" si="169"/>
        <v>0</v>
      </c>
      <c r="I490" s="48">
        <f t="shared" si="170"/>
        <v>0</v>
      </c>
      <c r="J490" s="49"/>
      <c r="K490" s="50">
        <f t="shared" si="171"/>
        <v>0</v>
      </c>
      <c r="L490" s="50"/>
      <c r="M490" s="48"/>
      <c r="N490" s="48">
        <f t="shared" si="172"/>
        <v>0</v>
      </c>
      <c r="O490" s="48">
        <f t="shared" si="173"/>
        <v>0</v>
      </c>
      <c r="P490" s="48">
        <f t="shared" si="174"/>
        <v>0</v>
      </c>
      <c r="Q490" s="48">
        <f t="shared" si="175"/>
        <v>0</v>
      </c>
      <c r="R490" s="41">
        <f t="shared" si="176"/>
        <v>0</v>
      </c>
    </row>
    <row r="491" spans="2:18" x14ac:dyDescent="0.2">
      <c r="B491" s="62" t="str">
        <f>IF(F491&lt;&gt;"",1+MAX($B$21:B490),"")</f>
        <v/>
      </c>
      <c r="C491" s="68"/>
      <c r="D491" s="74" t="s">
        <v>130</v>
      </c>
      <c r="E491" s="14"/>
      <c r="F491" s="19"/>
      <c r="G491" s="48"/>
      <c r="H491" s="48">
        <f t="shared" si="169"/>
        <v>0</v>
      </c>
      <c r="I491" s="48">
        <f t="shared" si="170"/>
        <v>0</v>
      </c>
      <c r="J491" s="49"/>
      <c r="K491" s="50">
        <f t="shared" si="171"/>
        <v>0</v>
      </c>
      <c r="L491" s="50"/>
      <c r="M491" s="48"/>
      <c r="N491" s="48">
        <f t="shared" si="172"/>
        <v>0</v>
      </c>
      <c r="O491" s="48">
        <f t="shared" si="173"/>
        <v>0</v>
      </c>
      <c r="P491" s="48">
        <f t="shared" si="174"/>
        <v>0</v>
      </c>
      <c r="Q491" s="48">
        <f t="shared" si="175"/>
        <v>0</v>
      </c>
      <c r="R491" s="41">
        <f t="shared" si="176"/>
        <v>0</v>
      </c>
    </row>
    <row r="492" spans="2:18" ht="102" x14ac:dyDescent="0.2">
      <c r="B492" s="61">
        <f>IF(F492&lt;&gt;"",1+MAX($B$21:B491),"")</f>
        <v>292</v>
      </c>
      <c r="C492" s="195" t="s">
        <v>511</v>
      </c>
      <c r="D492" s="73" t="s">
        <v>331</v>
      </c>
      <c r="E492" s="14" t="s">
        <v>72</v>
      </c>
      <c r="F492" s="19">
        <v>948.75</v>
      </c>
      <c r="G492" s="48">
        <f>349.95/40+1.55</f>
        <v>10.29875</v>
      </c>
      <c r="H492" s="48">
        <f t="shared" si="169"/>
        <v>9.804409999999999</v>
      </c>
      <c r="I492" s="48">
        <f t="shared" si="170"/>
        <v>9301.9339874999987</v>
      </c>
      <c r="J492" s="49">
        <v>0.04</v>
      </c>
      <c r="K492" s="50">
        <f t="shared" si="171"/>
        <v>37.950000000000003</v>
      </c>
      <c r="L492" s="50" t="s">
        <v>1052</v>
      </c>
      <c r="M492" s="48">
        <v>53.15</v>
      </c>
      <c r="N492" s="48">
        <f t="shared" si="172"/>
        <v>38.852649999999997</v>
      </c>
      <c r="O492" s="48">
        <f t="shared" si="173"/>
        <v>1.554106</v>
      </c>
      <c r="P492" s="48">
        <f t="shared" si="174"/>
        <v>1474.4580675</v>
      </c>
      <c r="Q492" s="48">
        <f t="shared" si="175"/>
        <v>10776.392054999998</v>
      </c>
      <c r="R492" s="41">
        <f t="shared" si="176"/>
        <v>15093.272282467498</v>
      </c>
    </row>
    <row r="493" spans="2:18" ht="102" x14ac:dyDescent="0.2">
      <c r="B493" s="61">
        <f>IF(F493&lt;&gt;"",1+MAX($B$21:B492),"")</f>
        <v>293</v>
      </c>
      <c r="C493" s="195"/>
      <c r="D493" s="73" t="s">
        <v>371</v>
      </c>
      <c r="E493" s="14" t="s">
        <v>72</v>
      </c>
      <c r="F493" s="19">
        <v>244.81</v>
      </c>
      <c r="G493" s="48">
        <f>2.3+1.55</f>
        <v>3.8499999999999996</v>
      </c>
      <c r="H493" s="48">
        <f t="shared" si="169"/>
        <v>3.6651999999999996</v>
      </c>
      <c r="I493" s="48">
        <f t="shared" si="170"/>
        <v>897.27761199999986</v>
      </c>
      <c r="J493" s="49">
        <v>0.04</v>
      </c>
      <c r="K493" s="50">
        <f t="shared" si="171"/>
        <v>9.7924000000000007</v>
      </c>
      <c r="L493" s="50" t="s">
        <v>1052</v>
      </c>
      <c r="M493" s="48">
        <v>53.15</v>
      </c>
      <c r="N493" s="48">
        <f t="shared" si="172"/>
        <v>38.852649999999997</v>
      </c>
      <c r="O493" s="48">
        <f t="shared" si="173"/>
        <v>1.554106</v>
      </c>
      <c r="P493" s="48">
        <f t="shared" si="174"/>
        <v>380.46068986</v>
      </c>
      <c r="Q493" s="48">
        <f t="shared" si="175"/>
        <v>1277.7383018599999</v>
      </c>
      <c r="R493" s="41">
        <f t="shared" si="176"/>
        <v>1795.8758618270197</v>
      </c>
    </row>
    <row r="494" spans="2:18" ht="25.5" x14ac:dyDescent="0.2">
      <c r="B494" s="61">
        <f>IF(F494&lt;&gt;"",1+MAX($B$21:B493),"")</f>
        <v>294</v>
      </c>
      <c r="C494" s="195"/>
      <c r="D494" s="73" t="s">
        <v>332</v>
      </c>
      <c r="E494" s="14" t="s">
        <v>74</v>
      </c>
      <c r="F494" s="19">
        <v>370.76</v>
      </c>
      <c r="G494" s="205"/>
      <c r="H494" s="205">
        <f t="shared" si="169"/>
        <v>0</v>
      </c>
      <c r="I494" s="205">
        <f t="shared" si="170"/>
        <v>0</v>
      </c>
      <c r="J494" s="49">
        <v>0.115</v>
      </c>
      <c r="K494" s="50">
        <f t="shared" si="171"/>
        <v>42.6374</v>
      </c>
      <c r="L494" s="50" t="s">
        <v>1052</v>
      </c>
      <c r="M494" s="48">
        <v>53.15</v>
      </c>
      <c r="N494" s="48">
        <f t="shared" si="172"/>
        <v>38.852649999999997</v>
      </c>
      <c r="O494" s="48">
        <f t="shared" si="173"/>
        <v>4.4680547499999994</v>
      </c>
      <c r="P494" s="48">
        <f t="shared" si="174"/>
        <v>1656.5759791099997</v>
      </c>
      <c r="Q494" s="48">
        <f t="shared" si="175"/>
        <v>1656.5759791099997</v>
      </c>
      <c r="R494" s="41">
        <f t="shared" si="176"/>
        <v>2363.9339221899695</v>
      </c>
    </row>
    <row r="495" spans="2:18" x14ac:dyDescent="0.2">
      <c r="B495" s="61" t="str">
        <f>IF(F495&lt;&gt;"",1+MAX($B$21:B494),"")</f>
        <v/>
      </c>
      <c r="C495" s="67"/>
      <c r="D495" s="73"/>
      <c r="E495" s="14"/>
      <c r="F495" s="19"/>
      <c r="G495" s="48"/>
      <c r="H495" s="48">
        <f t="shared" si="169"/>
        <v>0</v>
      </c>
      <c r="I495" s="48">
        <f t="shared" si="170"/>
        <v>0</v>
      </c>
      <c r="J495" s="49"/>
      <c r="K495" s="50">
        <f t="shared" si="171"/>
        <v>0</v>
      </c>
      <c r="L495" s="50"/>
      <c r="M495" s="48"/>
      <c r="N495" s="48">
        <f t="shared" si="172"/>
        <v>0</v>
      </c>
      <c r="O495" s="48">
        <f t="shared" si="173"/>
        <v>0</v>
      </c>
      <c r="P495" s="48">
        <f t="shared" si="174"/>
        <v>0</v>
      </c>
      <c r="Q495" s="48">
        <f t="shared" si="175"/>
        <v>0</v>
      </c>
      <c r="R495" s="41">
        <f t="shared" si="176"/>
        <v>0</v>
      </c>
    </row>
    <row r="496" spans="2:18" x14ac:dyDescent="0.2">
      <c r="B496" s="62" t="str">
        <f>IF(F496&lt;&gt;"",1+MAX($B$21:B495),"")</f>
        <v/>
      </c>
      <c r="C496" s="68"/>
      <c r="D496" s="74" t="s">
        <v>101</v>
      </c>
      <c r="E496" s="14"/>
      <c r="F496" s="19"/>
      <c r="G496" s="48"/>
      <c r="H496" s="48">
        <f t="shared" si="169"/>
        <v>0</v>
      </c>
      <c r="I496" s="48">
        <f t="shared" si="170"/>
        <v>0</v>
      </c>
      <c r="J496" s="49"/>
      <c r="K496" s="50">
        <f t="shared" si="171"/>
        <v>0</v>
      </c>
      <c r="L496" s="50"/>
      <c r="M496" s="48"/>
      <c r="N496" s="48">
        <f t="shared" si="172"/>
        <v>0</v>
      </c>
      <c r="O496" s="48">
        <f t="shared" si="173"/>
        <v>0</v>
      </c>
      <c r="P496" s="48">
        <f t="shared" si="174"/>
        <v>0</v>
      </c>
      <c r="Q496" s="48">
        <f t="shared" si="175"/>
        <v>0</v>
      </c>
      <c r="R496" s="41">
        <f t="shared" si="176"/>
        <v>0</v>
      </c>
    </row>
    <row r="497" spans="2:18" x14ac:dyDescent="0.2">
      <c r="B497" s="61" t="str">
        <f>IF(F497&lt;&gt;"",1+MAX($B$21:B496),"")</f>
        <v/>
      </c>
      <c r="C497" s="67"/>
      <c r="D497" s="73"/>
      <c r="E497" s="14"/>
      <c r="F497" s="19"/>
      <c r="G497" s="48"/>
      <c r="H497" s="48">
        <f t="shared" si="169"/>
        <v>0</v>
      </c>
      <c r="I497" s="48">
        <f t="shared" si="170"/>
        <v>0</v>
      </c>
      <c r="J497" s="49"/>
      <c r="K497" s="50">
        <f t="shared" si="171"/>
        <v>0</v>
      </c>
      <c r="L497" s="50"/>
      <c r="M497" s="48"/>
      <c r="N497" s="48">
        <f t="shared" si="172"/>
        <v>0</v>
      </c>
      <c r="O497" s="48">
        <f t="shared" si="173"/>
        <v>0</v>
      </c>
      <c r="P497" s="48">
        <f t="shared" si="174"/>
        <v>0</v>
      </c>
      <c r="Q497" s="48">
        <f t="shared" si="175"/>
        <v>0</v>
      </c>
      <c r="R497" s="41">
        <f t="shared" si="176"/>
        <v>0</v>
      </c>
    </row>
    <row r="498" spans="2:18" x14ac:dyDescent="0.2">
      <c r="B498" s="61" t="str">
        <f>IF(F498&lt;&gt;"",1+MAX($B$21:B497),"")</f>
        <v/>
      </c>
      <c r="C498" s="198" t="s">
        <v>504</v>
      </c>
      <c r="D498" s="75" t="s">
        <v>151</v>
      </c>
      <c r="E498" s="14"/>
      <c r="F498" s="19"/>
      <c r="G498" s="48"/>
      <c r="H498" s="48">
        <f t="shared" si="169"/>
        <v>0</v>
      </c>
      <c r="I498" s="48">
        <f t="shared" si="170"/>
        <v>0</v>
      </c>
      <c r="J498" s="49"/>
      <c r="K498" s="50">
        <f t="shared" si="171"/>
        <v>0</v>
      </c>
      <c r="L498" s="50"/>
      <c r="M498" s="48"/>
      <c r="N498" s="48">
        <f t="shared" si="172"/>
        <v>0</v>
      </c>
      <c r="O498" s="48">
        <f t="shared" si="173"/>
        <v>0</v>
      </c>
      <c r="P498" s="48">
        <f t="shared" si="174"/>
        <v>0</v>
      </c>
      <c r="Q498" s="48">
        <f t="shared" si="175"/>
        <v>0</v>
      </c>
      <c r="R498" s="41">
        <f t="shared" si="176"/>
        <v>0</v>
      </c>
    </row>
    <row r="499" spans="2:18" ht="51" x14ac:dyDescent="0.2">
      <c r="B499" s="61">
        <f>IF(F499&lt;&gt;"",1+MAX($B$21:B498),"")</f>
        <v>295</v>
      </c>
      <c r="C499" s="196"/>
      <c r="D499" s="73" t="s">
        <v>356</v>
      </c>
      <c r="E499" s="14" t="s">
        <v>72</v>
      </c>
      <c r="F499" s="19">
        <v>3710.84</v>
      </c>
      <c r="G499" s="12">
        <v>0.49</v>
      </c>
      <c r="H499" s="12">
        <f t="shared" si="169"/>
        <v>0.46647999999999995</v>
      </c>
      <c r="I499" s="12">
        <f t="shared" si="170"/>
        <v>1731.0326431999999</v>
      </c>
      <c r="J499" s="11">
        <v>2.4E-2</v>
      </c>
      <c r="K499" s="7">
        <f t="shared" si="171"/>
        <v>89.06016000000001</v>
      </c>
      <c r="L499" s="28" t="s">
        <v>1068</v>
      </c>
      <c r="M499" s="29">
        <v>44.4</v>
      </c>
      <c r="N499" s="48">
        <f t="shared" si="172"/>
        <v>32.456399999999995</v>
      </c>
      <c r="O499" s="48">
        <f t="shared" si="173"/>
        <v>0.77895359999999991</v>
      </c>
      <c r="P499" s="48">
        <f t="shared" si="174"/>
        <v>2890.5721770239998</v>
      </c>
      <c r="Q499" s="48">
        <f t="shared" si="175"/>
        <v>4621.6048202239999</v>
      </c>
      <c r="R499" s="41">
        <f t="shared" si="176"/>
        <v>6542.0604795777281</v>
      </c>
    </row>
    <row r="500" spans="2:18" ht="51" x14ac:dyDescent="0.2">
      <c r="B500" s="61">
        <f>IF(F500&lt;&gt;"",1+MAX($B$21:B499),"")</f>
        <v>296</v>
      </c>
      <c r="C500" s="196"/>
      <c r="D500" s="73" t="s">
        <v>358</v>
      </c>
      <c r="E500" s="14" t="s">
        <v>72</v>
      </c>
      <c r="F500" s="19">
        <v>153.62</v>
      </c>
      <c r="G500" s="12">
        <v>0.47</v>
      </c>
      <c r="H500" s="12">
        <f t="shared" si="169"/>
        <v>0.44743999999999995</v>
      </c>
      <c r="I500" s="12">
        <f t="shared" si="170"/>
        <v>68.735732799999994</v>
      </c>
      <c r="J500" s="11">
        <v>2.4E-2</v>
      </c>
      <c r="K500" s="7">
        <f t="shared" si="171"/>
        <v>3.6868800000000004</v>
      </c>
      <c r="L500" s="28" t="s">
        <v>1068</v>
      </c>
      <c r="M500" s="29">
        <v>44.4</v>
      </c>
      <c r="N500" s="48">
        <f t="shared" si="172"/>
        <v>32.456399999999995</v>
      </c>
      <c r="O500" s="48">
        <f t="shared" si="173"/>
        <v>0.77895359999999991</v>
      </c>
      <c r="P500" s="48">
        <f t="shared" si="174"/>
        <v>119.66285203199999</v>
      </c>
      <c r="Q500" s="48">
        <f t="shared" si="175"/>
        <v>188.39858483199998</v>
      </c>
      <c r="R500" s="41">
        <f t="shared" si="176"/>
        <v>266.74146713158393</v>
      </c>
    </row>
    <row r="501" spans="2:18" ht="63.75" x14ac:dyDescent="0.2">
      <c r="B501" s="61">
        <f>IF(F501&lt;&gt;"",1+MAX($B$21:B500),"")</f>
        <v>297</v>
      </c>
      <c r="C501" s="196"/>
      <c r="D501" s="73" t="s">
        <v>359</v>
      </c>
      <c r="E501" s="14" t="s">
        <v>72</v>
      </c>
      <c r="F501" s="19">
        <v>40</v>
      </c>
      <c r="G501" s="12">
        <v>0.47</v>
      </c>
      <c r="H501" s="12">
        <f t="shared" si="169"/>
        <v>0.44743999999999995</v>
      </c>
      <c r="I501" s="12">
        <f t="shared" si="170"/>
        <v>17.897599999999997</v>
      </c>
      <c r="J501" s="11">
        <v>2.4E-2</v>
      </c>
      <c r="K501" s="7">
        <f t="shared" si="171"/>
        <v>0.96</v>
      </c>
      <c r="L501" s="28" t="s">
        <v>1068</v>
      </c>
      <c r="M501" s="29">
        <v>44.4</v>
      </c>
      <c r="N501" s="48">
        <f t="shared" si="172"/>
        <v>32.456399999999995</v>
      </c>
      <c r="O501" s="48">
        <f t="shared" si="173"/>
        <v>0.77895359999999991</v>
      </c>
      <c r="P501" s="48">
        <f t="shared" si="174"/>
        <v>31.158143999999997</v>
      </c>
      <c r="Q501" s="48">
        <f t="shared" si="175"/>
        <v>49.05574399999999</v>
      </c>
      <c r="R501" s="41">
        <f t="shared" si="176"/>
        <v>69.454880127999985</v>
      </c>
    </row>
    <row r="502" spans="2:18" ht="63.75" x14ac:dyDescent="0.2">
      <c r="B502" s="61">
        <f>IF(F502&lt;&gt;"",1+MAX($B$21:B501),"")</f>
        <v>298</v>
      </c>
      <c r="C502" s="196"/>
      <c r="D502" s="73" t="s">
        <v>360</v>
      </c>
      <c r="E502" s="14" t="s">
        <v>72</v>
      </c>
      <c r="F502" s="19">
        <v>105</v>
      </c>
      <c r="G502" s="12">
        <v>0.47</v>
      </c>
      <c r="H502" s="12">
        <f t="shared" si="169"/>
        <v>0.44743999999999995</v>
      </c>
      <c r="I502" s="12">
        <f t="shared" si="170"/>
        <v>46.981199999999994</v>
      </c>
      <c r="J502" s="11">
        <v>2.4E-2</v>
      </c>
      <c r="K502" s="7">
        <f t="shared" si="171"/>
        <v>2.52</v>
      </c>
      <c r="L502" s="28" t="s">
        <v>1068</v>
      </c>
      <c r="M502" s="29">
        <v>44.4</v>
      </c>
      <c r="N502" s="48">
        <f t="shared" si="172"/>
        <v>32.456399999999995</v>
      </c>
      <c r="O502" s="48">
        <f t="shared" si="173"/>
        <v>0.77895359999999991</v>
      </c>
      <c r="P502" s="48">
        <f t="shared" si="174"/>
        <v>81.790127999999996</v>
      </c>
      <c r="Q502" s="48">
        <f t="shared" si="175"/>
        <v>128.77132799999998</v>
      </c>
      <c r="R502" s="41">
        <f t="shared" si="176"/>
        <v>182.31906033600001</v>
      </c>
    </row>
    <row r="503" spans="2:18" ht="63.75" x14ac:dyDescent="0.2">
      <c r="B503" s="61">
        <f>IF(F503&lt;&gt;"",1+MAX($B$21:B502),"")</f>
        <v>299</v>
      </c>
      <c r="C503" s="197"/>
      <c r="D503" s="73" t="s">
        <v>361</v>
      </c>
      <c r="E503" s="14" t="s">
        <v>72</v>
      </c>
      <c r="F503" s="19">
        <v>75</v>
      </c>
      <c r="G503" s="12">
        <v>0.47</v>
      </c>
      <c r="H503" s="12">
        <f t="shared" si="169"/>
        <v>0.44743999999999995</v>
      </c>
      <c r="I503" s="12">
        <f t="shared" si="170"/>
        <v>33.557999999999993</v>
      </c>
      <c r="J503" s="11">
        <v>2.4E-2</v>
      </c>
      <c r="K503" s="7">
        <f t="shared" si="171"/>
        <v>1.8</v>
      </c>
      <c r="L503" s="28" t="s">
        <v>1068</v>
      </c>
      <c r="M503" s="29">
        <v>44.4</v>
      </c>
      <c r="N503" s="48">
        <f t="shared" si="172"/>
        <v>32.456399999999995</v>
      </c>
      <c r="O503" s="48">
        <f t="shared" si="173"/>
        <v>0.77895359999999991</v>
      </c>
      <c r="P503" s="48">
        <f t="shared" si="174"/>
        <v>58.421519999999994</v>
      </c>
      <c r="Q503" s="48">
        <f t="shared" si="175"/>
        <v>91.97951999999998</v>
      </c>
      <c r="R503" s="41">
        <f t="shared" si="176"/>
        <v>130.22790023999997</v>
      </c>
    </row>
    <row r="504" spans="2:18" x14ac:dyDescent="0.2">
      <c r="B504" s="61" t="str">
        <f>IF(F504&lt;&gt;"",1+MAX($B$21:B503),"")</f>
        <v/>
      </c>
      <c r="C504" s="70"/>
      <c r="D504" s="73"/>
      <c r="E504" s="14"/>
      <c r="F504" s="19"/>
      <c r="G504" s="48"/>
      <c r="H504" s="48">
        <f t="shared" si="169"/>
        <v>0</v>
      </c>
      <c r="I504" s="48">
        <f t="shared" si="170"/>
        <v>0</v>
      </c>
      <c r="J504" s="49"/>
      <c r="K504" s="50">
        <f t="shared" si="171"/>
        <v>0</v>
      </c>
      <c r="L504" s="50"/>
      <c r="M504" s="48"/>
      <c r="N504" s="48">
        <f t="shared" si="172"/>
        <v>0</v>
      </c>
      <c r="O504" s="48">
        <f t="shared" si="173"/>
        <v>0</v>
      </c>
      <c r="P504" s="48">
        <f t="shared" si="174"/>
        <v>0</v>
      </c>
      <c r="Q504" s="48">
        <f t="shared" si="175"/>
        <v>0</v>
      </c>
      <c r="R504" s="41">
        <f t="shared" si="176"/>
        <v>0</v>
      </c>
    </row>
    <row r="505" spans="2:18" x14ac:dyDescent="0.2">
      <c r="B505" s="61" t="str">
        <f>IF(F505&lt;&gt;"",1+MAX($B$21:B504),"")</f>
        <v/>
      </c>
      <c r="C505" s="198" t="s">
        <v>373</v>
      </c>
      <c r="D505" s="75" t="s">
        <v>152</v>
      </c>
      <c r="E505" s="14"/>
      <c r="F505" s="19"/>
      <c r="G505" s="48"/>
      <c r="H505" s="48">
        <f t="shared" si="169"/>
        <v>0</v>
      </c>
      <c r="I505" s="48">
        <f t="shared" si="170"/>
        <v>0</v>
      </c>
      <c r="J505" s="49"/>
      <c r="K505" s="50">
        <f t="shared" si="171"/>
        <v>0</v>
      </c>
      <c r="L505" s="50"/>
      <c r="M505" s="48"/>
      <c r="N505" s="48">
        <f t="shared" si="172"/>
        <v>0</v>
      </c>
      <c r="O505" s="48">
        <f t="shared" si="173"/>
        <v>0</v>
      </c>
      <c r="P505" s="48">
        <f t="shared" si="174"/>
        <v>0</v>
      </c>
      <c r="Q505" s="48">
        <f t="shared" si="175"/>
        <v>0</v>
      </c>
      <c r="R505" s="41">
        <f t="shared" si="176"/>
        <v>0</v>
      </c>
    </row>
    <row r="506" spans="2:18" ht="63.75" x14ac:dyDescent="0.2">
      <c r="B506" s="61">
        <f>IF(F506&lt;&gt;"",1+MAX($B$21:B505),"")</f>
        <v>300</v>
      </c>
      <c r="C506" s="196"/>
      <c r="D506" s="73" t="s">
        <v>357</v>
      </c>
      <c r="E506" s="14" t="s">
        <v>72</v>
      </c>
      <c r="F506" s="19">
        <v>802</v>
      </c>
      <c r="G506" s="12">
        <v>0.49</v>
      </c>
      <c r="H506" s="12">
        <f t="shared" si="169"/>
        <v>0.46647999999999995</v>
      </c>
      <c r="I506" s="12">
        <f t="shared" si="170"/>
        <v>374.11695999999995</v>
      </c>
      <c r="J506" s="11">
        <v>0.03</v>
      </c>
      <c r="K506" s="7">
        <f t="shared" si="171"/>
        <v>24.06</v>
      </c>
      <c r="L506" s="28" t="s">
        <v>1068</v>
      </c>
      <c r="M506" s="29">
        <v>44.4</v>
      </c>
      <c r="N506" s="48">
        <f t="shared" si="172"/>
        <v>32.456399999999995</v>
      </c>
      <c r="O506" s="48">
        <f t="shared" si="173"/>
        <v>0.97369199999999978</v>
      </c>
      <c r="P506" s="48">
        <f t="shared" si="174"/>
        <v>780.90098399999988</v>
      </c>
      <c r="Q506" s="48">
        <f t="shared" si="175"/>
        <v>1155.0179439999997</v>
      </c>
      <c r="R506" s="41">
        <f t="shared" si="176"/>
        <v>1636.7626271119996</v>
      </c>
    </row>
    <row r="507" spans="2:18" ht="76.5" x14ac:dyDescent="0.2">
      <c r="B507" s="61">
        <f>IF(F507&lt;&gt;"",1+MAX($B$21:B506),"")</f>
        <v>301</v>
      </c>
      <c r="C507" s="197"/>
      <c r="D507" s="73" t="s">
        <v>502</v>
      </c>
      <c r="E507" s="14" t="s">
        <v>72</v>
      </c>
      <c r="F507" s="19">
        <v>100</v>
      </c>
      <c r="G507" s="12">
        <v>0.49</v>
      </c>
      <c r="H507" s="12">
        <f t="shared" si="169"/>
        <v>0.46647999999999995</v>
      </c>
      <c r="I507" s="12">
        <f t="shared" si="170"/>
        <v>46.647999999999996</v>
      </c>
      <c r="J507" s="11">
        <v>0.03</v>
      </c>
      <c r="K507" s="7">
        <f t="shared" si="171"/>
        <v>3</v>
      </c>
      <c r="L507" s="28" t="s">
        <v>1068</v>
      </c>
      <c r="M507" s="29">
        <v>44.4</v>
      </c>
      <c r="N507" s="48">
        <f t="shared" si="172"/>
        <v>32.456399999999995</v>
      </c>
      <c r="O507" s="48">
        <f t="shared" si="173"/>
        <v>0.97369199999999978</v>
      </c>
      <c r="P507" s="48">
        <f t="shared" si="174"/>
        <v>97.369199999999978</v>
      </c>
      <c r="Q507" s="48">
        <f t="shared" si="175"/>
        <v>144.01719999999997</v>
      </c>
      <c r="R507" s="41">
        <f t="shared" si="176"/>
        <v>204.08511559999997</v>
      </c>
    </row>
    <row r="508" spans="2:18" ht="63.75" x14ac:dyDescent="0.2">
      <c r="B508" s="61">
        <f>IF(F508&lt;&gt;"",1+MAX($B$21:B507),"")</f>
        <v>302</v>
      </c>
      <c r="C508" s="66" t="s">
        <v>573</v>
      </c>
      <c r="D508" s="73" t="s">
        <v>572</v>
      </c>
      <c r="E508" s="14" t="s">
        <v>72</v>
      </c>
      <c r="F508" s="19">
        <v>77</v>
      </c>
      <c r="G508" s="12">
        <v>0.47</v>
      </c>
      <c r="H508" s="12">
        <f t="shared" si="169"/>
        <v>0.44743999999999995</v>
      </c>
      <c r="I508" s="12">
        <f t="shared" si="170"/>
        <v>34.452879999999993</v>
      </c>
      <c r="J508" s="11">
        <v>0.03</v>
      </c>
      <c r="K508" s="7">
        <f t="shared" si="171"/>
        <v>2.31</v>
      </c>
      <c r="L508" s="28" t="s">
        <v>1068</v>
      </c>
      <c r="M508" s="29">
        <v>44.4</v>
      </c>
      <c r="N508" s="48">
        <f t="shared" si="172"/>
        <v>32.456399999999995</v>
      </c>
      <c r="O508" s="48">
        <f t="shared" si="173"/>
        <v>0.97369199999999978</v>
      </c>
      <c r="P508" s="48">
        <f t="shared" si="174"/>
        <v>74.974283999999983</v>
      </c>
      <c r="Q508" s="48">
        <f t="shared" si="175"/>
        <v>109.42716399999998</v>
      </c>
      <c r="R508" s="41">
        <f t="shared" si="176"/>
        <v>155.09830489999996</v>
      </c>
    </row>
    <row r="509" spans="2:18" x14ac:dyDescent="0.2">
      <c r="B509" s="61" t="str">
        <f>IF(F509&lt;&gt;"",1+MAX($B$21:B508),"")</f>
        <v/>
      </c>
      <c r="C509" s="70"/>
      <c r="D509" s="73"/>
      <c r="E509" s="14"/>
      <c r="F509" s="19"/>
      <c r="G509" s="48"/>
      <c r="H509" s="48">
        <f t="shared" si="169"/>
        <v>0</v>
      </c>
      <c r="I509" s="48">
        <f t="shared" si="170"/>
        <v>0</v>
      </c>
      <c r="J509" s="49"/>
      <c r="K509" s="50">
        <f t="shared" si="171"/>
        <v>0</v>
      </c>
      <c r="L509" s="50"/>
      <c r="M509" s="48"/>
      <c r="N509" s="48">
        <f t="shared" si="172"/>
        <v>0</v>
      </c>
      <c r="O509" s="48">
        <f t="shared" si="173"/>
        <v>0</v>
      </c>
      <c r="P509" s="48">
        <f t="shared" si="174"/>
        <v>0</v>
      </c>
      <c r="Q509" s="48">
        <f t="shared" si="175"/>
        <v>0</v>
      </c>
      <c r="R509" s="41">
        <f t="shared" si="176"/>
        <v>0</v>
      </c>
    </row>
    <row r="510" spans="2:18" x14ac:dyDescent="0.2">
      <c r="B510" s="61" t="str">
        <f>IF(F510&lt;&gt;"",1+MAX($B$21:B509),"")</f>
        <v/>
      </c>
      <c r="C510" s="198" t="s">
        <v>496</v>
      </c>
      <c r="D510" s="75" t="s">
        <v>501</v>
      </c>
      <c r="E510" s="14"/>
      <c r="F510" s="19"/>
      <c r="G510" s="48"/>
      <c r="H510" s="48">
        <f t="shared" si="169"/>
        <v>0</v>
      </c>
      <c r="I510" s="48">
        <f t="shared" si="170"/>
        <v>0</v>
      </c>
      <c r="J510" s="49"/>
      <c r="K510" s="50">
        <f t="shared" si="171"/>
        <v>0</v>
      </c>
      <c r="L510" s="50"/>
      <c r="M510" s="48"/>
      <c r="N510" s="48">
        <f t="shared" si="172"/>
        <v>0</v>
      </c>
      <c r="O510" s="48">
        <f t="shared" si="173"/>
        <v>0</v>
      </c>
      <c r="P510" s="48">
        <f t="shared" si="174"/>
        <v>0</v>
      </c>
      <c r="Q510" s="48">
        <f t="shared" si="175"/>
        <v>0</v>
      </c>
      <c r="R510" s="41">
        <f t="shared" si="176"/>
        <v>0</v>
      </c>
    </row>
    <row r="511" spans="2:18" ht="76.5" x14ac:dyDescent="0.2">
      <c r="B511" s="61">
        <f>IF(F511&lt;&gt;"",1+MAX($B$21:B510),"")</f>
        <v>303</v>
      </c>
      <c r="C511" s="196"/>
      <c r="D511" s="73" t="s">
        <v>570</v>
      </c>
      <c r="E511" s="14" t="s">
        <v>79</v>
      </c>
      <c r="F511" s="19">
        <v>6</v>
      </c>
      <c r="G511" s="12">
        <v>13.85</v>
      </c>
      <c r="H511" s="12">
        <f t="shared" si="169"/>
        <v>13.185199999999998</v>
      </c>
      <c r="I511" s="12">
        <f t="shared" si="170"/>
        <v>79.111199999999997</v>
      </c>
      <c r="J511" s="11">
        <v>2.6669999999999998</v>
      </c>
      <c r="K511" s="7">
        <f t="shared" si="171"/>
        <v>16.001999999999999</v>
      </c>
      <c r="L511" s="28" t="s">
        <v>1068</v>
      </c>
      <c r="M511" s="29">
        <v>44.4</v>
      </c>
      <c r="N511" s="48">
        <f t="shared" si="172"/>
        <v>32.456399999999995</v>
      </c>
      <c r="O511" s="48">
        <f t="shared" si="173"/>
        <v>86.561218799999978</v>
      </c>
      <c r="P511" s="48">
        <f t="shared" si="174"/>
        <v>519.36731279999981</v>
      </c>
      <c r="Q511" s="48">
        <f t="shared" si="175"/>
        <v>598.47851279999986</v>
      </c>
      <c r="R511" s="41">
        <f t="shared" si="176"/>
        <v>851.60803504559976</v>
      </c>
    </row>
    <row r="512" spans="2:18" x14ac:dyDescent="0.2">
      <c r="B512" s="61" t="str">
        <f>IF(F512&lt;&gt;"",1+MAX($B$21:B511),"")</f>
        <v/>
      </c>
      <c r="C512" s="196"/>
      <c r="D512" s="75"/>
      <c r="E512" s="14"/>
      <c r="F512" s="19"/>
      <c r="G512" s="48"/>
      <c r="H512" s="48">
        <f t="shared" si="169"/>
        <v>0</v>
      </c>
      <c r="I512" s="48">
        <f t="shared" si="170"/>
        <v>0</v>
      </c>
      <c r="J512" s="49"/>
      <c r="K512" s="50">
        <f t="shared" si="171"/>
        <v>0</v>
      </c>
      <c r="L512" s="50"/>
      <c r="M512" s="48"/>
      <c r="N512" s="48">
        <f t="shared" si="172"/>
        <v>0</v>
      </c>
      <c r="O512" s="48">
        <f t="shared" si="173"/>
        <v>0</v>
      </c>
      <c r="P512" s="48">
        <f t="shared" si="174"/>
        <v>0</v>
      </c>
      <c r="Q512" s="48">
        <f t="shared" si="175"/>
        <v>0</v>
      </c>
      <c r="R512" s="41">
        <f t="shared" si="176"/>
        <v>0</v>
      </c>
    </row>
    <row r="513" spans="2:18" x14ac:dyDescent="0.2">
      <c r="B513" s="61" t="str">
        <f>IF(F513&lt;&gt;"",1+MAX($B$21:B512),"")</f>
        <v/>
      </c>
      <c r="C513" s="196"/>
      <c r="D513" s="75" t="s">
        <v>503</v>
      </c>
      <c r="E513" s="14"/>
      <c r="F513" s="19"/>
      <c r="G513" s="48"/>
      <c r="H513" s="48">
        <f t="shared" si="169"/>
        <v>0</v>
      </c>
      <c r="I513" s="48">
        <f t="shared" si="170"/>
        <v>0</v>
      </c>
      <c r="J513" s="49"/>
      <c r="K513" s="50">
        <f t="shared" si="171"/>
        <v>0</v>
      </c>
      <c r="L513" s="50"/>
      <c r="M513" s="48"/>
      <c r="N513" s="48">
        <f t="shared" si="172"/>
        <v>0</v>
      </c>
      <c r="O513" s="48">
        <f t="shared" si="173"/>
        <v>0</v>
      </c>
      <c r="P513" s="48">
        <f t="shared" si="174"/>
        <v>0</v>
      </c>
      <c r="Q513" s="48">
        <f t="shared" si="175"/>
        <v>0</v>
      </c>
      <c r="R513" s="41">
        <f t="shared" si="176"/>
        <v>0</v>
      </c>
    </row>
    <row r="514" spans="2:18" ht="82.9" customHeight="1" x14ac:dyDescent="0.2">
      <c r="B514" s="61">
        <f>IF(F514&lt;&gt;"",1+MAX($B$21:B513),"")</f>
        <v>304</v>
      </c>
      <c r="C514" s="196"/>
      <c r="D514" s="73" t="s">
        <v>571</v>
      </c>
      <c r="E514" s="14" t="s">
        <v>74</v>
      </c>
      <c r="F514" s="19">
        <v>910</v>
      </c>
      <c r="G514" s="12">
        <v>0.42</v>
      </c>
      <c r="H514" s="12">
        <f t="shared" si="169"/>
        <v>0.39983999999999997</v>
      </c>
      <c r="I514" s="12">
        <f t="shared" si="170"/>
        <v>363.8544</v>
      </c>
      <c r="J514" s="11">
        <v>1.9E-2</v>
      </c>
      <c r="K514" s="7">
        <f t="shared" si="171"/>
        <v>17.29</v>
      </c>
      <c r="L514" s="28" t="s">
        <v>1068</v>
      </c>
      <c r="M514" s="29">
        <v>44.4</v>
      </c>
      <c r="N514" s="48">
        <f t="shared" si="172"/>
        <v>32.456399999999995</v>
      </c>
      <c r="O514" s="48">
        <f t="shared" si="173"/>
        <v>0.61667159999999988</v>
      </c>
      <c r="P514" s="48">
        <f t="shared" si="174"/>
        <v>561.17115599999988</v>
      </c>
      <c r="Q514" s="48">
        <f t="shared" si="175"/>
        <v>925.02555599999982</v>
      </c>
      <c r="R514" s="41">
        <f t="shared" si="176"/>
        <v>1308.8775237719999</v>
      </c>
    </row>
    <row r="515" spans="2:18" x14ac:dyDescent="0.2">
      <c r="B515" s="61" t="str">
        <f>IF(F515&lt;&gt;"",1+MAX($B$21:B514),"")</f>
        <v/>
      </c>
      <c r="C515" s="196"/>
      <c r="D515" s="75"/>
      <c r="E515" s="14"/>
      <c r="F515" s="19"/>
      <c r="G515" s="48"/>
      <c r="H515" s="48">
        <f t="shared" si="169"/>
        <v>0</v>
      </c>
      <c r="I515" s="48">
        <f t="shared" si="170"/>
        <v>0</v>
      </c>
      <c r="J515" s="49"/>
      <c r="K515" s="50">
        <f t="shared" si="171"/>
        <v>0</v>
      </c>
      <c r="L515" s="50"/>
      <c r="M515" s="48"/>
      <c r="N515" s="48">
        <f t="shared" si="172"/>
        <v>0</v>
      </c>
      <c r="O515" s="48">
        <f t="shared" si="173"/>
        <v>0</v>
      </c>
      <c r="P515" s="48">
        <f t="shared" si="174"/>
        <v>0</v>
      </c>
      <c r="Q515" s="48">
        <f t="shared" si="175"/>
        <v>0</v>
      </c>
      <c r="R515" s="41">
        <f t="shared" si="176"/>
        <v>0</v>
      </c>
    </row>
    <row r="516" spans="2:18" x14ac:dyDescent="0.2">
      <c r="B516" s="61" t="str">
        <f>IF(F516&lt;&gt;"",1+MAX($B$21:B515),"")</f>
        <v/>
      </c>
      <c r="C516" s="198"/>
      <c r="D516" s="75" t="s">
        <v>616</v>
      </c>
      <c r="E516" s="14"/>
      <c r="F516" s="19"/>
      <c r="G516" s="48"/>
      <c r="H516" s="48">
        <f t="shared" si="169"/>
        <v>0</v>
      </c>
      <c r="I516" s="48">
        <f t="shared" si="170"/>
        <v>0</v>
      </c>
      <c r="J516" s="49"/>
      <c r="K516" s="50">
        <f t="shared" si="171"/>
        <v>0</v>
      </c>
      <c r="L516" s="50"/>
      <c r="M516" s="48"/>
      <c r="N516" s="48">
        <f t="shared" si="172"/>
        <v>0</v>
      </c>
      <c r="O516" s="48">
        <f t="shared" si="173"/>
        <v>0</v>
      </c>
      <c r="P516" s="48">
        <f t="shared" si="174"/>
        <v>0</v>
      </c>
      <c r="Q516" s="48">
        <f t="shared" si="175"/>
        <v>0</v>
      </c>
      <c r="R516" s="41">
        <f t="shared" si="176"/>
        <v>0</v>
      </c>
    </row>
    <row r="517" spans="2:18" x14ac:dyDescent="0.2">
      <c r="B517" s="61">
        <f>IF(F517&lt;&gt;"",1+MAX($B$21:B516),"")</f>
        <v>305</v>
      </c>
      <c r="C517" s="196"/>
      <c r="D517" s="73" t="s">
        <v>617</v>
      </c>
      <c r="E517" s="14" t="s">
        <v>79</v>
      </c>
      <c r="F517" s="19">
        <v>5</v>
      </c>
      <c r="G517" s="48">
        <v>3.5</v>
      </c>
      <c r="H517" s="48">
        <f t="shared" si="169"/>
        <v>3.3319999999999999</v>
      </c>
      <c r="I517" s="48">
        <f t="shared" si="170"/>
        <v>16.66</v>
      </c>
      <c r="J517" s="49">
        <v>0.125</v>
      </c>
      <c r="K517" s="50">
        <f t="shared" si="171"/>
        <v>0.625</v>
      </c>
      <c r="L517" s="28" t="s">
        <v>1068</v>
      </c>
      <c r="M517" s="29">
        <v>44.4</v>
      </c>
      <c r="N517" s="48">
        <f t="shared" si="172"/>
        <v>32.456399999999995</v>
      </c>
      <c r="O517" s="48">
        <f t="shared" si="173"/>
        <v>4.0570499999999994</v>
      </c>
      <c r="P517" s="48">
        <f t="shared" si="174"/>
        <v>20.285249999999998</v>
      </c>
      <c r="Q517" s="48">
        <f t="shared" si="175"/>
        <v>36.945250000000001</v>
      </c>
      <c r="R517" s="41">
        <f t="shared" si="176"/>
        <v>52.211075750000006</v>
      </c>
    </row>
    <row r="518" spans="2:18" x14ac:dyDescent="0.2">
      <c r="B518" s="61">
        <f>IF(F518&lt;&gt;"",1+MAX($B$21:B517),"")</f>
        <v>306</v>
      </c>
      <c r="C518" s="196"/>
      <c r="D518" s="73" t="s">
        <v>704</v>
      </c>
      <c r="E518" s="14" t="s">
        <v>74</v>
      </c>
      <c r="F518" s="19">
        <v>45</v>
      </c>
      <c r="G518" s="12">
        <v>0.69</v>
      </c>
      <c r="H518" s="12">
        <f t="shared" si="169"/>
        <v>0.65687999999999991</v>
      </c>
      <c r="I518" s="12">
        <f t="shared" si="170"/>
        <v>29.559599999999996</v>
      </c>
      <c r="J518" s="11">
        <v>1.2999999999999999E-2</v>
      </c>
      <c r="K518" s="7">
        <f t="shared" si="171"/>
        <v>0.58499999999999996</v>
      </c>
      <c r="L518" s="28" t="s">
        <v>1068</v>
      </c>
      <c r="M518" s="29">
        <v>44.4</v>
      </c>
      <c r="N518" s="48">
        <f t="shared" si="172"/>
        <v>32.456399999999995</v>
      </c>
      <c r="O518" s="48">
        <f t="shared" si="173"/>
        <v>0.4219331999999999</v>
      </c>
      <c r="P518" s="48">
        <f t="shared" si="174"/>
        <v>18.986993999999996</v>
      </c>
      <c r="Q518" s="48">
        <f t="shared" si="175"/>
        <v>48.546593999999992</v>
      </c>
      <c r="R518" s="41">
        <f t="shared" si="176"/>
        <v>68.371465877999981</v>
      </c>
    </row>
    <row r="519" spans="2:18" x14ac:dyDescent="0.2">
      <c r="B519" s="61">
        <f>IF(F519&lt;&gt;"",1+MAX($B$21:B518),"")</f>
        <v>307</v>
      </c>
      <c r="C519" s="197"/>
      <c r="D519" s="73" t="s">
        <v>705</v>
      </c>
      <c r="E519" s="14" t="s">
        <v>74</v>
      </c>
      <c r="F519" s="19">
        <v>10</v>
      </c>
      <c r="G519" s="12">
        <v>0.69</v>
      </c>
      <c r="H519" s="12">
        <f t="shared" si="169"/>
        <v>0.65687999999999991</v>
      </c>
      <c r="I519" s="12">
        <f t="shared" si="170"/>
        <v>6.5687999999999995</v>
      </c>
      <c r="J519" s="11">
        <v>1.2999999999999999E-2</v>
      </c>
      <c r="K519" s="7">
        <f t="shared" si="171"/>
        <v>0.13</v>
      </c>
      <c r="L519" s="28" t="s">
        <v>1068</v>
      </c>
      <c r="M519" s="29">
        <v>44.4</v>
      </c>
      <c r="N519" s="48">
        <f t="shared" si="172"/>
        <v>32.456399999999995</v>
      </c>
      <c r="O519" s="48">
        <f t="shared" si="173"/>
        <v>0.4219331999999999</v>
      </c>
      <c r="P519" s="48">
        <f t="shared" si="174"/>
        <v>4.2193319999999988</v>
      </c>
      <c r="Q519" s="48">
        <f t="shared" si="175"/>
        <v>10.788131999999997</v>
      </c>
      <c r="R519" s="41">
        <f t="shared" si="176"/>
        <v>15.193659083999997</v>
      </c>
    </row>
    <row r="520" spans="2:18" x14ac:dyDescent="0.2">
      <c r="B520" s="61" t="str">
        <f>IF(F520&lt;&gt;"",1+MAX($B$21:B519),"")</f>
        <v/>
      </c>
      <c r="C520" s="67"/>
      <c r="D520" s="73"/>
      <c r="E520" s="14"/>
      <c r="F520" s="19"/>
      <c r="G520" s="48"/>
      <c r="H520" s="48">
        <f t="shared" si="169"/>
        <v>0</v>
      </c>
      <c r="I520" s="48">
        <f t="shared" si="170"/>
        <v>0</v>
      </c>
      <c r="J520" s="49"/>
      <c r="K520" s="50">
        <f t="shared" si="171"/>
        <v>0</v>
      </c>
      <c r="L520" s="50"/>
      <c r="M520" s="48"/>
      <c r="N520" s="48">
        <f t="shared" si="172"/>
        <v>0</v>
      </c>
      <c r="O520" s="48">
        <f t="shared" si="173"/>
        <v>0</v>
      </c>
      <c r="P520" s="48">
        <f t="shared" si="174"/>
        <v>0</v>
      </c>
      <c r="Q520" s="48">
        <f t="shared" si="175"/>
        <v>0</v>
      </c>
      <c r="R520" s="41">
        <f t="shared" si="176"/>
        <v>0</v>
      </c>
    </row>
    <row r="521" spans="2:18" x14ac:dyDescent="0.2">
      <c r="B521" s="62" t="str">
        <f>IF(F521&lt;&gt;"",1+MAX($B$21:B520),"")</f>
        <v/>
      </c>
      <c r="C521" s="68"/>
      <c r="D521" s="74" t="s">
        <v>102</v>
      </c>
      <c r="E521" s="14"/>
      <c r="F521" s="19"/>
      <c r="G521" s="48"/>
      <c r="H521" s="48">
        <f t="shared" ref="H521:H546" si="177">G521*$T$2</f>
        <v>0</v>
      </c>
      <c r="I521" s="48">
        <f t="shared" ref="I521:I546" si="178">F521*H521</f>
        <v>0</v>
      </c>
      <c r="J521" s="49"/>
      <c r="K521" s="50">
        <f t="shared" ref="K521:K546" si="179">F521*J521</f>
        <v>0</v>
      </c>
      <c r="L521" s="50"/>
      <c r="M521" s="48"/>
      <c r="N521" s="48">
        <f t="shared" ref="N521:N546" si="180">M521*$U$2</f>
        <v>0</v>
      </c>
      <c r="O521" s="48">
        <f t="shared" ref="O521:O546" si="181">J521*N521</f>
        <v>0</v>
      </c>
      <c r="P521" s="48">
        <f t="shared" ref="P521:P546" si="182">F521*O521</f>
        <v>0</v>
      </c>
      <c r="Q521" s="48">
        <f t="shared" ref="Q521:Q546" si="183">I521+P521</f>
        <v>0</v>
      </c>
      <c r="R521" s="41">
        <f t="shared" ref="R521:R546" si="184">Q521+(I521*$Q$7)+(P521*$Q$8)+(Q521*$Q$9)+(Q521*$Q$11)+($Q$10*(Q521+(I521*$Q$7)+(P521*$Q$8)+(Q521*$Q$9)))</f>
        <v>0</v>
      </c>
    </row>
    <row r="522" spans="2:18" x14ac:dyDescent="0.2">
      <c r="B522" s="61" t="str">
        <f>IF(F522&lt;&gt;"",1+MAX($B$21:B521),"")</f>
        <v/>
      </c>
      <c r="C522" s="67"/>
      <c r="D522" s="75"/>
      <c r="E522" s="14"/>
      <c r="F522" s="19"/>
      <c r="G522" s="48"/>
      <c r="H522" s="48">
        <f t="shared" si="177"/>
        <v>0</v>
      </c>
      <c r="I522" s="48">
        <f t="shared" si="178"/>
        <v>0</v>
      </c>
      <c r="J522" s="49"/>
      <c r="K522" s="50">
        <f t="shared" si="179"/>
        <v>0</v>
      </c>
      <c r="L522" s="50"/>
      <c r="M522" s="48"/>
      <c r="N522" s="48">
        <f t="shared" si="180"/>
        <v>0</v>
      </c>
      <c r="O522" s="48">
        <f t="shared" si="181"/>
        <v>0</v>
      </c>
      <c r="P522" s="48">
        <f t="shared" si="182"/>
        <v>0</v>
      </c>
      <c r="Q522" s="48">
        <f t="shared" si="183"/>
        <v>0</v>
      </c>
      <c r="R522" s="41">
        <f t="shared" si="184"/>
        <v>0</v>
      </c>
    </row>
    <row r="523" spans="2:18" x14ac:dyDescent="0.2">
      <c r="B523" s="61" t="str">
        <f>IF(F523&lt;&gt;"",1+MAX($B$21:B522),"")</f>
        <v/>
      </c>
      <c r="C523" s="67"/>
      <c r="D523" s="75" t="s">
        <v>75</v>
      </c>
      <c r="E523" s="14"/>
      <c r="F523" s="19"/>
      <c r="G523" s="48"/>
      <c r="H523" s="48">
        <f t="shared" si="177"/>
        <v>0</v>
      </c>
      <c r="I523" s="48">
        <f t="shared" si="178"/>
        <v>0</v>
      </c>
      <c r="J523" s="49"/>
      <c r="K523" s="50">
        <f t="shared" si="179"/>
        <v>0</v>
      </c>
      <c r="L523" s="50"/>
      <c r="M523" s="48"/>
      <c r="N523" s="48">
        <f t="shared" si="180"/>
        <v>0</v>
      </c>
      <c r="O523" s="48">
        <f t="shared" si="181"/>
        <v>0</v>
      </c>
      <c r="P523" s="48">
        <f t="shared" si="182"/>
        <v>0</v>
      </c>
      <c r="Q523" s="48">
        <f t="shared" si="183"/>
        <v>0</v>
      </c>
      <c r="R523" s="41">
        <f t="shared" si="184"/>
        <v>0</v>
      </c>
    </row>
    <row r="524" spans="2:18" ht="76.5" x14ac:dyDescent="0.2">
      <c r="B524" s="61">
        <f>IF(F524&lt;&gt;"",1+MAX($B$21:B523),"")</f>
        <v>308</v>
      </c>
      <c r="C524" s="195" t="s">
        <v>319</v>
      </c>
      <c r="D524" s="73" t="s">
        <v>392</v>
      </c>
      <c r="E524" s="14" t="s">
        <v>72</v>
      </c>
      <c r="F524" s="19">
        <f>8*3.75+50*12.5+34.2*12.5+46*12.5+4*12.5+8.5*18.67+74*3+46*2</f>
        <v>2180.1949999999997</v>
      </c>
      <c r="G524" s="12">
        <v>2.4500000000000002</v>
      </c>
      <c r="H524" s="12">
        <f t="shared" si="177"/>
        <v>2.3324000000000003</v>
      </c>
      <c r="I524" s="12">
        <f t="shared" si="178"/>
        <v>5085.0868179999998</v>
      </c>
      <c r="J524" s="11">
        <v>3.2000000000000001E-2</v>
      </c>
      <c r="K524" s="7">
        <f t="shared" si="179"/>
        <v>69.766239999999996</v>
      </c>
      <c r="L524" s="28" t="s">
        <v>1052</v>
      </c>
      <c r="M524" s="29">
        <v>53.15</v>
      </c>
      <c r="N524" s="48">
        <f t="shared" si="180"/>
        <v>38.852649999999997</v>
      </c>
      <c r="O524" s="48">
        <f t="shared" si="181"/>
        <v>1.2432847999999999</v>
      </c>
      <c r="P524" s="48">
        <f t="shared" si="182"/>
        <v>2710.6033045359995</v>
      </c>
      <c r="Q524" s="48">
        <f t="shared" si="183"/>
        <v>7795.6901225359998</v>
      </c>
      <c r="R524" s="41">
        <f t="shared" si="184"/>
        <v>10968.846148228071</v>
      </c>
    </row>
    <row r="525" spans="2:18" ht="38.25" x14ac:dyDescent="0.2">
      <c r="B525" s="61">
        <f>IF(F525&lt;&gt;"",1+MAX($B$21:B524),"")</f>
        <v>309</v>
      </c>
      <c r="C525" s="195"/>
      <c r="D525" s="73" t="s">
        <v>318</v>
      </c>
      <c r="E525" s="14" t="s">
        <v>72</v>
      </c>
      <c r="F525" s="19">
        <f>37*12.5+28.5*12.5+18.3*4.33</f>
        <v>897.98900000000003</v>
      </c>
      <c r="G525" s="12">
        <v>3.25</v>
      </c>
      <c r="H525" s="12">
        <f t="shared" si="177"/>
        <v>3.0939999999999999</v>
      </c>
      <c r="I525" s="12">
        <f t="shared" si="178"/>
        <v>2778.377966</v>
      </c>
      <c r="J525" s="11">
        <v>3.3000000000000002E-2</v>
      </c>
      <c r="K525" s="7">
        <f t="shared" si="179"/>
        <v>29.633637000000004</v>
      </c>
      <c r="L525" s="28" t="s">
        <v>1052</v>
      </c>
      <c r="M525" s="29">
        <v>53.15</v>
      </c>
      <c r="N525" s="48">
        <f t="shared" si="180"/>
        <v>38.852649999999997</v>
      </c>
      <c r="O525" s="48">
        <f t="shared" si="181"/>
        <v>1.28213745</v>
      </c>
      <c r="P525" s="48">
        <f t="shared" si="182"/>
        <v>1151.3453265880501</v>
      </c>
      <c r="Q525" s="48">
        <f t="shared" si="183"/>
        <v>3929.7232925880498</v>
      </c>
      <c r="R525" s="41">
        <f t="shared" si="184"/>
        <v>5522.6967727635465</v>
      </c>
    </row>
    <row r="526" spans="2:18" ht="51" x14ac:dyDescent="0.2">
      <c r="B526" s="61">
        <f>IF(F526&lt;&gt;"",1+MAX($B$21:B525),"")</f>
        <v>310</v>
      </c>
      <c r="C526" s="195"/>
      <c r="D526" s="73" t="s">
        <v>312</v>
      </c>
      <c r="E526" s="14" t="s">
        <v>72</v>
      </c>
      <c r="F526" s="19">
        <f>5.3*9+8.5*18.67+9.5*12.25</f>
        <v>322.77</v>
      </c>
      <c r="G526" s="12">
        <v>3.85</v>
      </c>
      <c r="H526" s="12">
        <f t="shared" si="177"/>
        <v>3.6652</v>
      </c>
      <c r="I526" s="12">
        <f t="shared" si="178"/>
        <v>1183.0166039999999</v>
      </c>
      <c r="J526" s="11">
        <v>3.7999999999999999E-2</v>
      </c>
      <c r="K526" s="7">
        <f t="shared" si="179"/>
        <v>12.26526</v>
      </c>
      <c r="L526" s="28" t="s">
        <v>1052</v>
      </c>
      <c r="M526" s="29">
        <v>53.15</v>
      </c>
      <c r="N526" s="48">
        <f t="shared" si="180"/>
        <v>38.852649999999997</v>
      </c>
      <c r="O526" s="48">
        <f t="shared" si="181"/>
        <v>1.4764006999999999</v>
      </c>
      <c r="P526" s="48">
        <f t="shared" si="182"/>
        <v>476.53785393899994</v>
      </c>
      <c r="Q526" s="48">
        <f t="shared" si="183"/>
        <v>1659.5544579389998</v>
      </c>
      <c r="R526" s="41">
        <f t="shared" si="184"/>
        <v>2331.9839033965527</v>
      </c>
    </row>
    <row r="527" spans="2:18" ht="102" x14ac:dyDescent="0.2">
      <c r="B527" s="61">
        <f>IF(F527&lt;&gt;"",1+MAX($B$21:B526),"")</f>
        <v>311</v>
      </c>
      <c r="C527" s="195"/>
      <c r="D527" s="73" t="s">
        <v>315</v>
      </c>
      <c r="E527" s="14" t="s">
        <v>72</v>
      </c>
      <c r="F527" s="19">
        <f>(13*4+90*12.75+41.5*15.75+9*15.75)+(46*1.58+38*2.58+97*4.58+6*7.17)</f>
        <v>2652.875</v>
      </c>
      <c r="G527" s="48">
        <v>4.6500000000000004</v>
      </c>
      <c r="H527" s="48">
        <f t="shared" si="177"/>
        <v>4.4268000000000001</v>
      </c>
      <c r="I527" s="48">
        <f t="shared" si="178"/>
        <v>11743.74705</v>
      </c>
      <c r="J527" s="49">
        <v>3.9E-2</v>
      </c>
      <c r="K527" s="50">
        <f t="shared" si="179"/>
        <v>103.462125</v>
      </c>
      <c r="L527" s="28" t="s">
        <v>1052</v>
      </c>
      <c r="M527" s="29">
        <v>53.15</v>
      </c>
      <c r="N527" s="48">
        <f t="shared" si="180"/>
        <v>38.852649999999997</v>
      </c>
      <c r="O527" s="48">
        <f t="shared" si="181"/>
        <v>1.5152533499999998</v>
      </c>
      <c r="P527" s="48">
        <f t="shared" si="182"/>
        <v>4019.7777308812497</v>
      </c>
      <c r="Q527" s="48">
        <f t="shared" si="183"/>
        <v>15763.524780881249</v>
      </c>
      <c r="R527" s="41">
        <f t="shared" si="184"/>
        <v>22135.191202587543</v>
      </c>
    </row>
    <row r="528" spans="2:18" x14ac:dyDescent="0.2">
      <c r="B528" s="61" t="str">
        <f>IF(F528&lt;&gt;"",1+MAX($B$21:B527),"")</f>
        <v/>
      </c>
      <c r="C528" s="195"/>
      <c r="D528" s="73"/>
      <c r="E528" s="14"/>
      <c r="F528" s="19"/>
      <c r="G528" s="48"/>
      <c r="H528" s="48">
        <f t="shared" si="177"/>
        <v>0</v>
      </c>
      <c r="I528" s="48">
        <f t="shared" ref="I528" si="185">F528*H528</f>
        <v>0</v>
      </c>
      <c r="J528" s="49"/>
      <c r="K528" s="50">
        <f t="shared" ref="K528" si="186">F528*J528</f>
        <v>0</v>
      </c>
      <c r="L528" s="50"/>
      <c r="M528" s="48"/>
      <c r="N528" s="48">
        <f t="shared" si="180"/>
        <v>0</v>
      </c>
      <c r="O528" s="48">
        <f t="shared" ref="O528" si="187">J528*N528</f>
        <v>0</v>
      </c>
      <c r="P528" s="48">
        <f t="shared" ref="P528" si="188">F528*O528</f>
        <v>0</v>
      </c>
      <c r="Q528" s="48">
        <f t="shared" si="183"/>
        <v>0</v>
      </c>
      <c r="R528" s="41">
        <f t="shared" si="184"/>
        <v>0</v>
      </c>
    </row>
    <row r="529" spans="2:18" x14ac:dyDescent="0.2">
      <c r="B529" s="61" t="str">
        <f>IF(F529&lt;&gt;"",1+MAX($B$21:B528),"")</f>
        <v/>
      </c>
      <c r="C529" s="195"/>
      <c r="D529" s="75" t="s">
        <v>580</v>
      </c>
      <c r="E529" s="14"/>
      <c r="F529" s="19"/>
      <c r="G529" s="48"/>
      <c r="H529" s="48">
        <f t="shared" si="177"/>
        <v>0</v>
      </c>
      <c r="I529" s="48">
        <f t="shared" si="178"/>
        <v>0</v>
      </c>
      <c r="J529" s="49"/>
      <c r="K529" s="50">
        <f t="shared" si="179"/>
        <v>0</v>
      </c>
      <c r="L529" s="50"/>
      <c r="M529" s="48"/>
      <c r="N529" s="48">
        <f t="shared" si="180"/>
        <v>0</v>
      </c>
      <c r="O529" s="48">
        <f t="shared" si="181"/>
        <v>0</v>
      </c>
      <c r="P529" s="48">
        <f t="shared" si="182"/>
        <v>0</v>
      </c>
      <c r="Q529" s="48">
        <f t="shared" si="183"/>
        <v>0</v>
      </c>
      <c r="R529" s="41">
        <f t="shared" si="184"/>
        <v>0</v>
      </c>
    </row>
    <row r="530" spans="2:18" x14ac:dyDescent="0.2">
      <c r="B530" s="61">
        <f>IF(F530&lt;&gt;"",1+MAX($B$21:B529),"")</f>
        <v>312</v>
      </c>
      <c r="C530" s="195"/>
      <c r="D530" s="73" t="s">
        <v>581</v>
      </c>
      <c r="E530" s="14" t="s">
        <v>74</v>
      </c>
      <c r="F530" s="19">
        <f>77/1</f>
        <v>77</v>
      </c>
      <c r="G530" s="12">
        <v>5.13</v>
      </c>
      <c r="H530" s="12">
        <f t="shared" si="177"/>
        <v>4.8837599999999997</v>
      </c>
      <c r="I530" s="12">
        <f t="shared" si="178"/>
        <v>376.04951999999997</v>
      </c>
      <c r="J530" s="11">
        <v>5.0999999999999997E-2</v>
      </c>
      <c r="K530" s="7">
        <f t="shared" si="179"/>
        <v>3.9269999999999996</v>
      </c>
      <c r="L530" s="28" t="s">
        <v>1052</v>
      </c>
      <c r="M530" s="29">
        <v>53.15</v>
      </c>
      <c r="N530" s="48">
        <f t="shared" si="180"/>
        <v>38.852649999999997</v>
      </c>
      <c r="O530" s="48">
        <f t="shared" si="181"/>
        <v>1.9814851499999997</v>
      </c>
      <c r="P530" s="48">
        <f t="shared" si="182"/>
        <v>152.57435654999998</v>
      </c>
      <c r="Q530" s="48">
        <f t="shared" si="183"/>
        <v>528.62387654999998</v>
      </c>
      <c r="R530" s="41">
        <f t="shared" si="184"/>
        <v>742.83915652485007</v>
      </c>
    </row>
    <row r="531" spans="2:18" x14ac:dyDescent="0.2">
      <c r="B531" s="61" t="str">
        <f>IF(F531&lt;&gt;"",1+MAX($B$21:B530),"")</f>
        <v/>
      </c>
      <c r="C531" s="195"/>
      <c r="D531" s="73"/>
      <c r="E531" s="14"/>
      <c r="F531" s="19"/>
      <c r="G531" s="48"/>
      <c r="H531" s="48">
        <f t="shared" si="177"/>
        <v>0</v>
      </c>
      <c r="I531" s="48">
        <f t="shared" si="178"/>
        <v>0</v>
      </c>
      <c r="J531" s="49"/>
      <c r="K531" s="50">
        <f t="shared" si="179"/>
        <v>0</v>
      </c>
      <c r="L531" s="50"/>
      <c r="M531" s="48"/>
      <c r="N531" s="48">
        <f t="shared" si="180"/>
        <v>0</v>
      </c>
      <c r="O531" s="48">
        <f t="shared" si="181"/>
        <v>0</v>
      </c>
      <c r="P531" s="48">
        <f t="shared" si="182"/>
        <v>0</v>
      </c>
      <c r="Q531" s="48">
        <f t="shared" si="183"/>
        <v>0</v>
      </c>
      <c r="R531" s="41">
        <f t="shared" si="184"/>
        <v>0</v>
      </c>
    </row>
    <row r="532" spans="2:18" x14ac:dyDescent="0.2">
      <c r="B532" s="61" t="str">
        <f>IF(F532&lt;&gt;"",1+MAX($B$21:B531),"")</f>
        <v/>
      </c>
      <c r="C532" s="195"/>
      <c r="D532" s="75" t="s">
        <v>296</v>
      </c>
      <c r="E532" s="14"/>
      <c r="F532" s="19"/>
      <c r="G532" s="48"/>
      <c r="H532" s="48">
        <f t="shared" si="177"/>
        <v>0</v>
      </c>
      <c r="I532" s="48">
        <f t="shared" si="178"/>
        <v>0</v>
      </c>
      <c r="J532" s="49"/>
      <c r="K532" s="50">
        <f t="shared" si="179"/>
        <v>0</v>
      </c>
      <c r="L532" s="50"/>
      <c r="M532" s="48"/>
      <c r="N532" s="48">
        <f t="shared" si="180"/>
        <v>0</v>
      </c>
      <c r="O532" s="48">
        <f t="shared" si="181"/>
        <v>0</v>
      </c>
      <c r="P532" s="48">
        <f t="shared" si="182"/>
        <v>0</v>
      </c>
      <c r="Q532" s="48">
        <f t="shared" si="183"/>
        <v>0</v>
      </c>
      <c r="R532" s="41">
        <f t="shared" si="184"/>
        <v>0</v>
      </c>
    </row>
    <row r="533" spans="2:18" x14ac:dyDescent="0.2">
      <c r="B533" s="61">
        <f>IF(F533&lt;&gt;"",1+MAX($B$21:B532),"")</f>
        <v>313</v>
      </c>
      <c r="C533" s="195"/>
      <c r="D533" s="73" t="s">
        <v>297</v>
      </c>
      <c r="E533" s="14" t="s">
        <v>74</v>
      </c>
      <c r="F533" s="19">
        <f>420/1.33</f>
        <v>315.78947368421052</v>
      </c>
      <c r="G533" s="12">
        <v>3.27</v>
      </c>
      <c r="H533" s="12">
        <f t="shared" si="177"/>
        <v>3.1130399999999998</v>
      </c>
      <c r="I533" s="12">
        <f t="shared" si="178"/>
        <v>983.06526315789461</v>
      </c>
      <c r="J533" s="11">
        <v>4.2000000000000003E-2</v>
      </c>
      <c r="K533" s="7">
        <f t="shared" si="179"/>
        <v>13.263157894736842</v>
      </c>
      <c r="L533" s="28" t="s">
        <v>1052</v>
      </c>
      <c r="M533" s="29">
        <v>53.15</v>
      </c>
      <c r="N533" s="48">
        <f t="shared" si="180"/>
        <v>38.852649999999997</v>
      </c>
      <c r="O533" s="48">
        <f t="shared" si="181"/>
        <v>1.6318113000000001</v>
      </c>
      <c r="P533" s="48">
        <f t="shared" si="182"/>
        <v>515.30883157894743</v>
      </c>
      <c r="Q533" s="48">
        <f t="shared" si="183"/>
        <v>1498.3740947368419</v>
      </c>
      <c r="R533" s="41">
        <f t="shared" si="184"/>
        <v>2108.098036136842</v>
      </c>
    </row>
    <row r="534" spans="2:18" x14ac:dyDescent="0.2">
      <c r="B534" s="61" t="str">
        <f>IF(F534&lt;&gt;"",1+MAX($B$21:B533),"")</f>
        <v/>
      </c>
      <c r="C534" s="195"/>
      <c r="D534" s="73"/>
      <c r="E534" s="14"/>
      <c r="F534" s="19"/>
      <c r="G534" s="48"/>
      <c r="H534" s="48">
        <f t="shared" si="177"/>
        <v>0</v>
      </c>
      <c r="I534" s="48">
        <f t="shared" si="178"/>
        <v>0</v>
      </c>
      <c r="J534" s="49"/>
      <c r="K534" s="50">
        <f t="shared" si="179"/>
        <v>0</v>
      </c>
      <c r="L534" s="50"/>
      <c r="M534" s="48"/>
      <c r="N534" s="48">
        <f t="shared" si="180"/>
        <v>0</v>
      </c>
      <c r="O534" s="48">
        <f t="shared" si="181"/>
        <v>0</v>
      </c>
      <c r="P534" s="48">
        <f t="shared" si="182"/>
        <v>0</v>
      </c>
      <c r="Q534" s="48">
        <f t="shared" si="183"/>
        <v>0</v>
      </c>
      <c r="R534" s="41">
        <f t="shared" si="184"/>
        <v>0</v>
      </c>
    </row>
    <row r="535" spans="2:18" x14ac:dyDescent="0.2">
      <c r="B535" s="61" t="str">
        <f>IF(F535&lt;&gt;"",1+MAX($B$21:B534),"")</f>
        <v/>
      </c>
      <c r="C535" s="195"/>
      <c r="D535" s="75" t="s">
        <v>103</v>
      </c>
      <c r="E535" s="14"/>
      <c r="F535" s="19"/>
      <c r="G535" s="48"/>
      <c r="H535" s="48">
        <f t="shared" si="177"/>
        <v>0</v>
      </c>
      <c r="I535" s="48">
        <f t="shared" si="178"/>
        <v>0</v>
      </c>
      <c r="J535" s="49"/>
      <c r="K535" s="50">
        <f t="shared" si="179"/>
        <v>0</v>
      </c>
      <c r="L535" s="50"/>
      <c r="M535" s="48"/>
      <c r="N535" s="48">
        <f t="shared" si="180"/>
        <v>0</v>
      </c>
      <c r="O535" s="48">
        <f t="shared" si="181"/>
        <v>0</v>
      </c>
      <c r="P535" s="48">
        <f t="shared" si="182"/>
        <v>0</v>
      </c>
      <c r="Q535" s="48">
        <f t="shared" si="183"/>
        <v>0</v>
      </c>
      <c r="R535" s="41">
        <f t="shared" si="184"/>
        <v>0</v>
      </c>
    </row>
    <row r="536" spans="2:18" x14ac:dyDescent="0.2">
      <c r="B536" s="61">
        <f>IF(F536&lt;&gt;"",1+MAX($B$21:B535),"")</f>
        <v>314</v>
      </c>
      <c r="C536" s="195"/>
      <c r="D536" s="73" t="s">
        <v>298</v>
      </c>
      <c r="E536" s="14" t="s">
        <v>74</v>
      </c>
      <c r="F536" s="19">
        <f>142+8.5+74+46</f>
        <v>270.5</v>
      </c>
      <c r="G536" s="205"/>
      <c r="H536" s="205">
        <f t="shared" si="177"/>
        <v>0</v>
      </c>
      <c r="I536" s="205">
        <f t="shared" si="178"/>
        <v>0</v>
      </c>
      <c r="J536" s="206"/>
      <c r="K536" s="207">
        <f t="shared" si="179"/>
        <v>0</v>
      </c>
      <c r="L536" s="207"/>
      <c r="M536" s="205"/>
      <c r="N536" s="205">
        <f t="shared" si="180"/>
        <v>0</v>
      </c>
      <c r="O536" s="205">
        <f t="shared" si="181"/>
        <v>0</v>
      </c>
      <c r="P536" s="205">
        <f t="shared" si="182"/>
        <v>0</v>
      </c>
      <c r="Q536" s="205">
        <f t="shared" si="183"/>
        <v>0</v>
      </c>
      <c r="R536" s="112">
        <f t="shared" si="184"/>
        <v>0</v>
      </c>
    </row>
    <row r="537" spans="2:18" x14ac:dyDescent="0.2">
      <c r="B537" s="61">
        <f>IF(F537&lt;&gt;"",1+MAX($B$21:B536),"")</f>
        <v>315</v>
      </c>
      <c r="C537" s="195"/>
      <c r="D537" s="73" t="s">
        <v>299</v>
      </c>
      <c r="E537" s="14" t="s">
        <v>74</v>
      </c>
      <c r="F537" s="19">
        <f>66+18.3</f>
        <v>84.3</v>
      </c>
      <c r="G537" s="205"/>
      <c r="H537" s="205">
        <f t="shared" si="177"/>
        <v>0</v>
      </c>
      <c r="I537" s="205">
        <f t="shared" si="178"/>
        <v>0</v>
      </c>
      <c r="J537" s="206"/>
      <c r="K537" s="207">
        <f t="shared" si="179"/>
        <v>0</v>
      </c>
      <c r="L537" s="207"/>
      <c r="M537" s="205"/>
      <c r="N537" s="205">
        <f t="shared" si="180"/>
        <v>0</v>
      </c>
      <c r="O537" s="205">
        <f t="shared" si="181"/>
        <v>0</v>
      </c>
      <c r="P537" s="205">
        <f t="shared" si="182"/>
        <v>0</v>
      </c>
      <c r="Q537" s="205">
        <f t="shared" si="183"/>
        <v>0</v>
      </c>
      <c r="R537" s="112">
        <f t="shared" si="184"/>
        <v>0</v>
      </c>
    </row>
    <row r="538" spans="2:18" x14ac:dyDescent="0.2">
      <c r="B538" s="61">
        <f>IF(F538&lt;&gt;"",1+MAX($B$21:B537),"")</f>
        <v>316</v>
      </c>
      <c r="C538" s="195"/>
      <c r="D538" s="73" t="s">
        <v>305</v>
      </c>
      <c r="E538" s="14" t="s">
        <v>74</v>
      </c>
      <c r="F538" s="19">
        <f>6+8.5+9.5</f>
        <v>24</v>
      </c>
      <c r="G538" s="205"/>
      <c r="H538" s="205">
        <f t="shared" si="177"/>
        <v>0</v>
      </c>
      <c r="I538" s="205">
        <f t="shared" si="178"/>
        <v>0</v>
      </c>
      <c r="J538" s="206"/>
      <c r="K538" s="207">
        <f t="shared" si="179"/>
        <v>0</v>
      </c>
      <c r="L538" s="207"/>
      <c r="M538" s="205"/>
      <c r="N538" s="205">
        <f t="shared" si="180"/>
        <v>0</v>
      </c>
      <c r="O538" s="205">
        <f t="shared" si="181"/>
        <v>0</v>
      </c>
      <c r="P538" s="205">
        <f t="shared" si="182"/>
        <v>0</v>
      </c>
      <c r="Q538" s="205">
        <f t="shared" si="183"/>
        <v>0</v>
      </c>
      <c r="R538" s="112">
        <f t="shared" si="184"/>
        <v>0</v>
      </c>
    </row>
    <row r="539" spans="2:18" x14ac:dyDescent="0.2">
      <c r="B539" s="61">
        <f>IF(F539&lt;&gt;"",1+MAX($B$21:B538),"")</f>
        <v>317</v>
      </c>
      <c r="C539" s="195"/>
      <c r="D539" s="73" t="s">
        <v>313</v>
      </c>
      <c r="E539" s="14" t="s">
        <v>74</v>
      </c>
      <c r="F539" s="19">
        <f>13+90+42+9+46+38+97+6</f>
        <v>341</v>
      </c>
      <c r="G539" s="205"/>
      <c r="H539" s="205">
        <f t="shared" si="177"/>
        <v>0</v>
      </c>
      <c r="I539" s="205">
        <f t="shared" si="178"/>
        <v>0</v>
      </c>
      <c r="J539" s="206"/>
      <c r="K539" s="207">
        <f t="shared" si="179"/>
        <v>0</v>
      </c>
      <c r="L539" s="207"/>
      <c r="M539" s="205"/>
      <c r="N539" s="205">
        <f t="shared" si="180"/>
        <v>0</v>
      </c>
      <c r="O539" s="205">
        <f t="shared" si="181"/>
        <v>0</v>
      </c>
      <c r="P539" s="205">
        <f t="shared" si="182"/>
        <v>0</v>
      </c>
      <c r="Q539" s="205">
        <f t="shared" si="183"/>
        <v>0</v>
      </c>
      <c r="R539" s="112">
        <f t="shared" si="184"/>
        <v>0</v>
      </c>
    </row>
    <row r="540" spans="2:18" x14ac:dyDescent="0.2">
      <c r="B540" s="61" t="str">
        <f>IF(F540&lt;&gt;"",1+MAX($B$21:B539),"")</f>
        <v/>
      </c>
      <c r="C540" s="195"/>
      <c r="D540" s="73"/>
      <c r="E540" s="14"/>
      <c r="F540" s="19"/>
      <c r="G540" s="48"/>
      <c r="H540" s="48">
        <f t="shared" si="177"/>
        <v>0</v>
      </c>
      <c r="I540" s="48">
        <f t="shared" si="178"/>
        <v>0</v>
      </c>
      <c r="J540" s="49"/>
      <c r="K540" s="50">
        <f t="shared" si="179"/>
        <v>0</v>
      </c>
      <c r="L540" s="50"/>
      <c r="M540" s="48"/>
      <c r="N540" s="48">
        <f t="shared" si="180"/>
        <v>0</v>
      </c>
      <c r="O540" s="48">
        <f t="shared" si="181"/>
        <v>0</v>
      </c>
      <c r="P540" s="48">
        <f t="shared" si="182"/>
        <v>0</v>
      </c>
      <c r="Q540" s="48">
        <f t="shared" si="183"/>
        <v>0</v>
      </c>
      <c r="R540" s="41">
        <f t="shared" si="184"/>
        <v>0</v>
      </c>
    </row>
    <row r="541" spans="2:18" x14ac:dyDescent="0.2">
      <c r="B541" s="61" t="str">
        <f>IF(F541&lt;&gt;"",1+MAX($B$21:B540),"")</f>
        <v/>
      </c>
      <c r="C541" s="195"/>
      <c r="D541" s="75" t="s">
        <v>104</v>
      </c>
      <c r="E541" s="14"/>
      <c r="F541" s="19"/>
      <c r="G541" s="48"/>
      <c r="H541" s="48">
        <f t="shared" si="177"/>
        <v>0</v>
      </c>
      <c r="I541" s="48">
        <f t="shared" si="178"/>
        <v>0</v>
      </c>
      <c r="J541" s="49"/>
      <c r="K541" s="50">
        <f t="shared" si="179"/>
        <v>0</v>
      </c>
      <c r="L541" s="50"/>
      <c r="M541" s="48"/>
      <c r="N541" s="48">
        <f t="shared" si="180"/>
        <v>0</v>
      </c>
      <c r="O541" s="48">
        <f t="shared" si="181"/>
        <v>0</v>
      </c>
      <c r="P541" s="48">
        <f t="shared" si="182"/>
        <v>0</v>
      </c>
      <c r="Q541" s="48">
        <f t="shared" si="183"/>
        <v>0</v>
      </c>
      <c r="R541" s="41">
        <f t="shared" si="184"/>
        <v>0</v>
      </c>
    </row>
    <row r="542" spans="2:18" x14ac:dyDescent="0.2">
      <c r="B542" s="61">
        <f>IF(F542&lt;&gt;"",1+MAX($B$21:B541),"")</f>
        <v>318</v>
      </c>
      <c r="C542" s="195"/>
      <c r="D542" s="73" t="s">
        <v>300</v>
      </c>
      <c r="E542" s="14" t="s">
        <v>74</v>
      </c>
      <c r="F542" s="19">
        <f>142+8.5+74+46</f>
        <v>270.5</v>
      </c>
      <c r="G542" s="205"/>
      <c r="H542" s="205">
        <f t="shared" si="177"/>
        <v>0</v>
      </c>
      <c r="I542" s="205">
        <f t="shared" ref="I542:I545" si="189">F542*H542</f>
        <v>0</v>
      </c>
      <c r="J542" s="206"/>
      <c r="K542" s="207">
        <f t="shared" ref="K542:K545" si="190">F542*J542</f>
        <v>0</v>
      </c>
      <c r="L542" s="207"/>
      <c r="M542" s="205"/>
      <c r="N542" s="205">
        <f t="shared" si="180"/>
        <v>0</v>
      </c>
      <c r="O542" s="205">
        <f t="shared" ref="O542:O545" si="191">J542*N542</f>
        <v>0</v>
      </c>
      <c r="P542" s="205">
        <f t="shared" ref="P542:P545" si="192">F542*O542</f>
        <v>0</v>
      </c>
      <c r="Q542" s="205">
        <f t="shared" ref="Q542:Q545" si="193">I542+P542</f>
        <v>0</v>
      </c>
      <c r="R542" s="112">
        <f t="shared" ref="R542:R545" si="194">Q542+(I542*$Q$7)+(P542*$Q$8)+(Q542*$Q$9)+(Q542*$Q$11)+($Q$10*(Q542+(I542*$Q$7)+(P542*$Q$8)+(Q542*$Q$9)))</f>
        <v>0</v>
      </c>
    </row>
    <row r="543" spans="2:18" x14ac:dyDescent="0.2">
      <c r="B543" s="61">
        <f>IF(F543&lt;&gt;"",1+MAX($B$21:B542),"")</f>
        <v>319</v>
      </c>
      <c r="C543" s="195"/>
      <c r="D543" s="73" t="s">
        <v>301</v>
      </c>
      <c r="E543" s="14" t="s">
        <v>74</v>
      </c>
      <c r="F543" s="19">
        <f>66+18.3</f>
        <v>84.3</v>
      </c>
      <c r="G543" s="205"/>
      <c r="H543" s="205">
        <f t="shared" si="177"/>
        <v>0</v>
      </c>
      <c r="I543" s="205">
        <f t="shared" si="189"/>
        <v>0</v>
      </c>
      <c r="J543" s="206"/>
      <c r="K543" s="207">
        <f t="shared" si="190"/>
        <v>0</v>
      </c>
      <c r="L543" s="207"/>
      <c r="M543" s="205"/>
      <c r="N543" s="205">
        <f t="shared" si="180"/>
        <v>0</v>
      </c>
      <c r="O543" s="205">
        <f t="shared" si="191"/>
        <v>0</v>
      </c>
      <c r="P543" s="205">
        <f t="shared" si="192"/>
        <v>0</v>
      </c>
      <c r="Q543" s="205">
        <f t="shared" si="193"/>
        <v>0</v>
      </c>
      <c r="R543" s="112">
        <f t="shared" si="194"/>
        <v>0</v>
      </c>
    </row>
    <row r="544" spans="2:18" x14ac:dyDescent="0.2">
      <c r="B544" s="61">
        <f>IF(F544&lt;&gt;"",1+MAX($B$21:B543),"")</f>
        <v>320</v>
      </c>
      <c r="C544" s="195"/>
      <c r="D544" s="73" t="s">
        <v>306</v>
      </c>
      <c r="E544" s="14" t="s">
        <v>74</v>
      </c>
      <c r="F544" s="19">
        <f>6+8.5+9.5</f>
        <v>24</v>
      </c>
      <c r="G544" s="205"/>
      <c r="H544" s="205">
        <f t="shared" si="177"/>
        <v>0</v>
      </c>
      <c r="I544" s="205">
        <f t="shared" si="189"/>
        <v>0</v>
      </c>
      <c r="J544" s="206"/>
      <c r="K544" s="207">
        <f t="shared" si="190"/>
        <v>0</v>
      </c>
      <c r="L544" s="207"/>
      <c r="M544" s="205"/>
      <c r="N544" s="205">
        <f t="shared" si="180"/>
        <v>0</v>
      </c>
      <c r="O544" s="205">
        <f t="shared" si="191"/>
        <v>0</v>
      </c>
      <c r="P544" s="205">
        <f t="shared" si="192"/>
        <v>0</v>
      </c>
      <c r="Q544" s="205">
        <f t="shared" si="193"/>
        <v>0</v>
      </c>
      <c r="R544" s="112">
        <f t="shared" si="194"/>
        <v>0</v>
      </c>
    </row>
    <row r="545" spans="2:19" x14ac:dyDescent="0.2">
      <c r="B545" s="61">
        <f>IF(F545&lt;&gt;"",1+MAX($B$21:B544),"")</f>
        <v>321</v>
      </c>
      <c r="C545" s="195"/>
      <c r="D545" s="73" t="s">
        <v>314</v>
      </c>
      <c r="E545" s="14" t="s">
        <v>74</v>
      </c>
      <c r="F545" s="19">
        <v>341</v>
      </c>
      <c r="G545" s="205"/>
      <c r="H545" s="205">
        <f t="shared" si="177"/>
        <v>0</v>
      </c>
      <c r="I545" s="205">
        <f t="shared" si="189"/>
        <v>0</v>
      </c>
      <c r="J545" s="206"/>
      <c r="K545" s="207">
        <f t="shared" si="190"/>
        <v>0</v>
      </c>
      <c r="L545" s="207"/>
      <c r="M545" s="205"/>
      <c r="N545" s="205">
        <f t="shared" si="180"/>
        <v>0</v>
      </c>
      <c r="O545" s="205">
        <f t="shared" si="191"/>
        <v>0</v>
      </c>
      <c r="P545" s="205">
        <f t="shared" si="192"/>
        <v>0</v>
      </c>
      <c r="Q545" s="205">
        <f t="shared" si="193"/>
        <v>0</v>
      </c>
      <c r="R545" s="112">
        <f t="shared" si="194"/>
        <v>0</v>
      </c>
    </row>
    <row r="546" spans="2:19" ht="13.5" thickBot="1" x14ac:dyDescent="0.25">
      <c r="B546" s="61" t="str">
        <f>IF(F546&lt;&gt;"",1+MAX($B$21:B545),"")</f>
        <v/>
      </c>
      <c r="C546" s="67"/>
      <c r="D546" s="73"/>
      <c r="E546" s="14"/>
      <c r="F546" s="19"/>
      <c r="G546" s="48"/>
      <c r="H546" s="48">
        <f t="shared" si="177"/>
        <v>0</v>
      </c>
      <c r="I546" s="48">
        <f t="shared" si="178"/>
        <v>0</v>
      </c>
      <c r="J546" s="49"/>
      <c r="K546" s="50">
        <f t="shared" si="179"/>
        <v>0</v>
      </c>
      <c r="L546" s="50"/>
      <c r="M546" s="48"/>
      <c r="N546" s="48">
        <f t="shared" si="180"/>
        <v>0</v>
      </c>
      <c r="O546" s="48">
        <f t="shared" si="181"/>
        <v>0</v>
      </c>
      <c r="P546" s="48">
        <f t="shared" si="182"/>
        <v>0</v>
      </c>
      <c r="Q546" s="48">
        <f t="shared" si="183"/>
        <v>0</v>
      </c>
      <c r="R546" s="41">
        <f t="shared" si="184"/>
        <v>0</v>
      </c>
      <c r="S546" s="9"/>
    </row>
    <row r="547" spans="2:19" s="9" customFormat="1" ht="26.25" thickBot="1" x14ac:dyDescent="0.25">
      <c r="B547" s="59" t="str">
        <f>IF(F547&lt;&gt;"",1+MAX($B$21:B546),"")</f>
        <v/>
      </c>
      <c r="C547" s="65" t="s">
        <v>48</v>
      </c>
      <c r="D547" s="72" t="s">
        <v>20</v>
      </c>
      <c r="E547" s="51"/>
      <c r="F547" s="51"/>
      <c r="G547" s="51"/>
      <c r="H547" s="52" t="s">
        <v>61</v>
      </c>
      <c r="I547" s="53">
        <f>SUM(I548:I574)</f>
        <v>2642.7139200000001</v>
      </c>
      <c r="J547" s="54"/>
      <c r="K547" s="55" t="str">
        <f>ROUND(SUM(K548:K574),0) &amp; " " &amp; "HRS"</f>
        <v>15 HRS</v>
      </c>
      <c r="L547" s="56"/>
      <c r="M547" s="56"/>
      <c r="N547" s="56"/>
      <c r="O547" s="52" t="s">
        <v>62</v>
      </c>
      <c r="P547" s="53">
        <f>SUM(P548:P574)</f>
        <v>584.22729804999994</v>
      </c>
      <c r="Q547" s="57">
        <f>SUM(Q548:Q574)</f>
        <v>3226.9412180499999</v>
      </c>
      <c r="R547" s="58">
        <f>(Q547)+(I547*$Q$7)+(P547*$Q$8)+(Q547*$Q$9)+($Q$10*((Q547)+(I547*$Q$7)+(P547*$Q$8)+(Q547*$Q$9)))+(Q547*$Q$11)</f>
        <v>4523.9780722053501</v>
      </c>
    </row>
    <row r="548" spans="2:19" x14ac:dyDescent="0.2">
      <c r="B548" s="61" t="str">
        <f>IF(F548&lt;&gt;"",1+MAX($B$21:B547),"")</f>
        <v/>
      </c>
      <c r="C548" s="67"/>
      <c r="D548" s="73"/>
      <c r="E548" s="14"/>
      <c r="F548" s="19"/>
      <c r="G548" s="48"/>
      <c r="H548" s="48">
        <f t="shared" ref="H548:H574" si="195">G548*$T$2</f>
        <v>0</v>
      </c>
      <c r="I548" s="48">
        <f t="shared" ref="I548:I574" si="196">F548*H548</f>
        <v>0</v>
      </c>
      <c r="J548" s="49"/>
      <c r="K548" s="50">
        <f t="shared" ref="K548:K574" si="197">F548*J548</f>
        <v>0</v>
      </c>
      <c r="L548" s="50"/>
      <c r="M548" s="48"/>
      <c r="N548" s="48">
        <f t="shared" ref="N548:N574" si="198">M548*$U$2</f>
        <v>0</v>
      </c>
      <c r="O548" s="48">
        <f t="shared" ref="O548:O574" si="199">J548*N548</f>
        <v>0</v>
      </c>
      <c r="P548" s="48">
        <f t="shared" ref="P548:P574" si="200">F548*O548</f>
        <v>0</v>
      </c>
      <c r="Q548" s="48">
        <f t="shared" ref="Q548:Q574" si="201">I548+P548</f>
        <v>0</v>
      </c>
      <c r="R548" s="41">
        <f t="shared" ref="R548:R574" si="202">Q548+(I548*$Q$7)+(P548*$Q$8)+(Q548*$Q$9)+(Q548*$Q$11)+($Q$10*(Q548+(I548*$Q$7)+(P548*$Q$8)+(Q548*$Q$9)))</f>
        <v>0</v>
      </c>
      <c r="S548" s="9"/>
    </row>
    <row r="549" spans="2:19" x14ac:dyDescent="0.2">
      <c r="B549" s="62" t="str">
        <f>IF(F549&lt;&gt;"",1+MAX($B$21:B548),"")</f>
        <v/>
      </c>
      <c r="C549" s="68"/>
      <c r="D549" s="74" t="s">
        <v>105</v>
      </c>
      <c r="E549" s="14"/>
      <c r="F549" s="19"/>
      <c r="G549" s="48"/>
      <c r="H549" s="48">
        <f t="shared" si="195"/>
        <v>0</v>
      </c>
      <c r="I549" s="48">
        <f t="shared" si="196"/>
        <v>0</v>
      </c>
      <c r="J549" s="49"/>
      <c r="K549" s="50">
        <f t="shared" si="197"/>
        <v>0</v>
      </c>
      <c r="L549" s="50"/>
      <c r="M549" s="48"/>
      <c r="N549" s="48">
        <f t="shared" si="198"/>
        <v>0</v>
      </c>
      <c r="O549" s="48">
        <f t="shared" si="199"/>
        <v>0</v>
      </c>
      <c r="P549" s="48">
        <f t="shared" si="200"/>
        <v>0</v>
      </c>
      <c r="Q549" s="48">
        <f t="shared" si="201"/>
        <v>0</v>
      </c>
      <c r="R549" s="41">
        <f t="shared" si="202"/>
        <v>0</v>
      </c>
    </row>
    <row r="550" spans="2:19" ht="25.5" x14ac:dyDescent="0.2">
      <c r="B550" s="61">
        <f>IF(F550&lt;&gt;"",1+MAX($B$21:B549),"")</f>
        <v>322</v>
      </c>
      <c r="C550" s="195" t="s">
        <v>191</v>
      </c>
      <c r="D550" s="73" t="s">
        <v>456</v>
      </c>
      <c r="E550" s="14" t="s">
        <v>79</v>
      </c>
      <c r="F550" s="19">
        <v>2</v>
      </c>
      <c r="G550" s="48">
        <v>42.95</v>
      </c>
      <c r="H550" s="48">
        <f t="shared" si="195"/>
        <v>40.888400000000004</v>
      </c>
      <c r="I550" s="48">
        <f t="shared" si="196"/>
        <v>81.776800000000009</v>
      </c>
      <c r="J550" s="11">
        <v>0.33300000000000002</v>
      </c>
      <c r="K550" s="7">
        <f t="shared" si="197"/>
        <v>0.66600000000000004</v>
      </c>
      <c r="L550" s="28" t="s">
        <v>1048</v>
      </c>
      <c r="M550" s="29">
        <v>53.15</v>
      </c>
      <c r="N550" s="48">
        <f t="shared" si="198"/>
        <v>38.852649999999997</v>
      </c>
      <c r="O550" s="48">
        <f t="shared" si="199"/>
        <v>12.93793245</v>
      </c>
      <c r="P550" s="48">
        <f t="shared" si="200"/>
        <v>25.8758649</v>
      </c>
      <c r="Q550" s="48">
        <f t="shared" si="201"/>
        <v>107.6526649</v>
      </c>
      <c r="R550" s="41">
        <f t="shared" si="202"/>
        <v>151.11798273230002</v>
      </c>
    </row>
    <row r="551" spans="2:19" ht="25.5" x14ac:dyDescent="0.2">
      <c r="B551" s="61">
        <f>IF(F551&lt;&gt;"",1+MAX($B$21:B550),"")</f>
        <v>323</v>
      </c>
      <c r="C551" s="195"/>
      <c r="D551" s="73" t="s">
        <v>457</v>
      </c>
      <c r="E551" s="14" t="s">
        <v>79</v>
      </c>
      <c r="F551" s="19">
        <v>2</v>
      </c>
      <c r="G551" s="48">
        <v>51.95</v>
      </c>
      <c r="H551" s="48">
        <f t="shared" si="195"/>
        <v>49.456400000000002</v>
      </c>
      <c r="I551" s="48">
        <f t="shared" si="196"/>
        <v>98.912800000000004</v>
      </c>
      <c r="J551" s="11">
        <v>0.4</v>
      </c>
      <c r="K551" s="7">
        <f t="shared" si="197"/>
        <v>0.8</v>
      </c>
      <c r="L551" s="28" t="s">
        <v>1048</v>
      </c>
      <c r="M551" s="29">
        <v>53.15</v>
      </c>
      <c r="N551" s="48">
        <f t="shared" si="198"/>
        <v>38.852649999999997</v>
      </c>
      <c r="O551" s="48">
        <f t="shared" si="199"/>
        <v>15.54106</v>
      </c>
      <c r="P551" s="48">
        <f t="shared" si="200"/>
        <v>31.08212</v>
      </c>
      <c r="Q551" s="48">
        <f t="shared" si="201"/>
        <v>129.99492000000001</v>
      </c>
      <c r="R551" s="41">
        <f t="shared" si="202"/>
        <v>182.47601916000002</v>
      </c>
    </row>
    <row r="552" spans="2:19" ht="25.5" x14ac:dyDescent="0.2">
      <c r="B552" s="61">
        <f>IF(F552&lt;&gt;"",1+MAX($B$21:B551),"")</f>
        <v>324</v>
      </c>
      <c r="C552" s="195"/>
      <c r="D552" s="73" t="s">
        <v>458</v>
      </c>
      <c r="E552" s="14" t="s">
        <v>79</v>
      </c>
      <c r="F552" s="19">
        <v>2</v>
      </c>
      <c r="G552" s="48">
        <v>317.23</v>
      </c>
      <c r="H552" s="48">
        <f t="shared" si="195"/>
        <v>302.00296000000003</v>
      </c>
      <c r="I552" s="48">
        <f t="shared" si="196"/>
        <v>604.00592000000006</v>
      </c>
      <c r="J552" s="49">
        <v>2</v>
      </c>
      <c r="K552" s="50">
        <f t="shared" si="197"/>
        <v>4</v>
      </c>
      <c r="L552" s="28" t="s">
        <v>1048</v>
      </c>
      <c r="M552" s="29">
        <v>53.15</v>
      </c>
      <c r="N552" s="48">
        <f t="shared" si="198"/>
        <v>38.852649999999997</v>
      </c>
      <c r="O552" s="48">
        <f t="shared" si="199"/>
        <v>77.705299999999994</v>
      </c>
      <c r="P552" s="48">
        <f t="shared" si="200"/>
        <v>155.41059999999999</v>
      </c>
      <c r="Q552" s="48">
        <f t="shared" si="201"/>
        <v>759.41651999999999</v>
      </c>
      <c r="R552" s="41">
        <f t="shared" si="202"/>
        <v>1065.2047928880002</v>
      </c>
    </row>
    <row r="553" spans="2:19" ht="25.5" x14ac:dyDescent="0.2">
      <c r="B553" s="61">
        <f>IF(F553&lt;&gt;"",1+MAX($B$21:B552),"")</f>
        <v>325</v>
      </c>
      <c r="C553" s="195"/>
      <c r="D553" s="73" t="s">
        <v>459</v>
      </c>
      <c r="E553" s="14" t="s">
        <v>79</v>
      </c>
      <c r="F553" s="19">
        <v>2</v>
      </c>
      <c r="G553" s="48">
        <v>191.3</v>
      </c>
      <c r="H553" s="48">
        <f t="shared" si="195"/>
        <v>182.11760000000001</v>
      </c>
      <c r="I553" s="48">
        <f t="shared" si="196"/>
        <v>364.23520000000002</v>
      </c>
      <c r="J553" s="11">
        <v>0.53300000000000003</v>
      </c>
      <c r="K553" s="7">
        <f t="shared" si="197"/>
        <v>1.0660000000000001</v>
      </c>
      <c r="L553" s="28" t="s">
        <v>1048</v>
      </c>
      <c r="M553" s="29">
        <v>53.15</v>
      </c>
      <c r="N553" s="48">
        <f t="shared" si="198"/>
        <v>38.852649999999997</v>
      </c>
      <c r="O553" s="48">
        <f t="shared" si="199"/>
        <v>20.708462449999999</v>
      </c>
      <c r="P553" s="48">
        <f t="shared" si="200"/>
        <v>41.416924899999998</v>
      </c>
      <c r="Q553" s="48">
        <f t="shared" si="201"/>
        <v>405.65212489999999</v>
      </c>
      <c r="R553" s="41">
        <f t="shared" si="202"/>
        <v>567.71998511229992</v>
      </c>
    </row>
    <row r="554" spans="2:19" ht="25.5" x14ac:dyDescent="0.2">
      <c r="B554" s="61">
        <f>IF(F554&lt;&gt;"",1+MAX($B$21:B553),"")</f>
        <v>326</v>
      </c>
      <c r="C554" s="195"/>
      <c r="D554" s="73" t="s">
        <v>460</v>
      </c>
      <c r="E554" s="14" t="s">
        <v>79</v>
      </c>
      <c r="F554" s="19">
        <v>1</v>
      </c>
      <c r="G554" s="48">
        <v>40.880000000000003</v>
      </c>
      <c r="H554" s="48">
        <f t="shared" si="195"/>
        <v>38.917760000000001</v>
      </c>
      <c r="I554" s="48">
        <f t="shared" si="196"/>
        <v>38.917760000000001</v>
      </c>
      <c r="J554" s="11">
        <v>0.4</v>
      </c>
      <c r="K554" s="7">
        <f t="shared" si="197"/>
        <v>0.4</v>
      </c>
      <c r="L554" s="28" t="s">
        <v>1048</v>
      </c>
      <c r="M554" s="29">
        <v>53.15</v>
      </c>
      <c r="N554" s="48">
        <f t="shared" si="198"/>
        <v>38.852649999999997</v>
      </c>
      <c r="O554" s="48">
        <f t="shared" si="199"/>
        <v>15.54106</v>
      </c>
      <c r="P554" s="48">
        <f t="shared" si="200"/>
        <v>15.54106</v>
      </c>
      <c r="Q554" s="48">
        <f t="shared" si="201"/>
        <v>54.458820000000003</v>
      </c>
      <c r="R554" s="41">
        <f t="shared" si="202"/>
        <v>76.52185268400001</v>
      </c>
    </row>
    <row r="555" spans="2:19" x14ac:dyDescent="0.2">
      <c r="B555" s="61">
        <f>IF(F555&lt;&gt;"",1+MAX($B$21:B554),"")</f>
        <v>327</v>
      </c>
      <c r="C555" s="195"/>
      <c r="D555" s="73" t="s">
        <v>461</v>
      </c>
      <c r="E555" s="14" t="s">
        <v>79</v>
      </c>
      <c r="F555" s="19">
        <v>2</v>
      </c>
      <c r="G555" s="12">
        <v>15.5</v>
      </c>
      <c r="H555" s="12">
        <f t="shared" si="195"/>
        <v>14.756</v>
      </c>
      <c r="I555" s="12">
        <f t="shared" si="196"/>
        <v>29.512</v>
      </c>
      <c r="J555" s="11">
        <v>0.125</v>
      </c>
      <c r="K555" s="7">
        <f t="shared" si="197"/>
        <v>0.25</v>
      </c>
      <c r="L555" s="28" t="s">
        <v>1048</v>
      </c>
      <c r="M555" s="29">
        <v>53.15</v>
      </c>
      <c r="N555" s="48">
        <f t="shared" si="198"/>
        <v>38.852649999999997</v>
      </c>
      <c r="O555" s="48">
        <f t="shared" si="199"/>
        <v>4.8565812499999996</v>
      </c>
      <c r="P555" s="48">
        <f t="shared" si="200"/>
        <v>9.7131624999999993</v>
      </c>
      <c r="Q555" s="48">
        <f t="shared" si="201"/>
        <v>39.225162499999996</v>
      </c>
      <c r="R555" s="41">
        <f t="shared" si="202"/>
        <v>55.071239687499997</v>
      </c>
    </row>
    <row r="556" spans="2:19" ht="25.5" x14ac:dyDescent="0.2">
      <c r="B556" s="61">
        <f>IF(F556&lt;&gt;"",1+MAX($B$21:B555),"")</f>
        <v>328</v>
      </c>
      <c r="C556" s="195"/>
      <c r="D556" s="73" t="s">
        <v>462</v>
      </c>
      <c r="E556" s="14" t="s">
        <v>79</v>
      </c>
      <c r="F556" s="19">
        <v>1</v>
      </c>
      <c r="G556" s="48">
        <v>95.22</v>
      </c>
      <c r="H556" s="48">
        <f t="shared" si="195"/>
        <v>90.649439999999998</v>
      </c>
      <c r="I556" s="48">
        <f t="shared" si="196"/>
        <v>90.649439999999998</v>
      </c>
      <c r="J556" s="11">
        <v>0.33300000000000002</v>
      </c>
      <c r="K556" s="7">
        <f t="shared" ref="K556" si="203">F556*J556</f>
        <v>0.33300000000000002</v>
      </c>
      <c r="L556" s="28" t="s">
        <v>1048</v>
      </c>
      <c r="M556" s="29">
        <v>53.15</v>
      </c>
      <c r="N556" s="48">
        <f t="shared" si="198"/>
        <v>38.852649999999997</v>
      </c>
      <c r="O556" s="48">
        <f t="shared" si="199"/>
        <v>12.93793245</v>
      </c>
      <c r="P556" s="48">
        <f t="shared" si="200"/>
        <v>12.93793245</v>
      </c>
      <c r="Q556" s="48">
        <f t="shared" si="201"/>
        <v>103.58737245</v>
      </c>
      <c r="R556" s="41">
        <f t="shared" si="202"/>
        <v>145.04530762215001</v>
      </c>
    </row>
    <row r="557" spans="2:19" x14ac:dyDescent="0.2">
      <c r="B557" s="61" t="str">
        <f>IF(F557&lt;&gt;"",1+MAX($B$21:B556),"")</f>
        <v/>
      </c>
      <c r="C557" s="67"/>
      <c r="D557" s="76" t="s">
        <v>1034</v>
      </c>
      <c r="E557" s="14"/>
      <c r="F557" s="19"/>
      <c r="G557" s="48"/>
      <c r="H557" s="48">
        <f t="shared" si="195"/>
        <v>0</v>
      </c>
      <c r="I557" s="48">
        <f t="shared" si="196"/>
        <v>0</v>
      </c>
      <c r="J557" s="49"/>
      <c r="K557" s="50">
        <f t="shared" si="197"/>
        <v>0</v>
      </c>
      <c r="L557" s="50"/>
      <c r="M557" s="48"/>
      <c r="N557" s="48">
        <f t="shared" si="198"/>
        <v>0</v>
      </c>
      <c r="O557" s="48">
        <f t="shared" si="199"/>
        <v>0</v>
      </c>
      <c r="P557" s="48">
        <f t="shared" si="200"/>
        <v>0</v>
      </c>
      <c r="Q557" s="48">
        <f t="shared" si="201"/>
        <v>0</v>
      </c>
      <c r="R557" s="41">
        <f t="shared" si="202"/>
        <v>0</v>
      </c>
    </row>
    <row r="558" spans="2:19" x14ac:dyDescent="0.2">
      <c r="B558" s="61" t="str">
        <f>IF(F558&lt;&gt;"",1+MAX($B$21:B557),"")</f>
        <v/>
      </c>
      <c r="C558" s="67"/>
      <c r="D558" s="73"/>
      <c r="E558" s="14"/>
      <c r="F558" s="19"/>
      <c r="G558" s="48"/>
      <c r="H558" s="48">
        <f t="shared" si="195"/>
        <v>0</v>
      </c>
      <c r="I558" s="48">
        <f t="shared" si="196"/>
        <v>0</v>
      </c>
      <c r="J558" s="49"/>
      <c r="K558" s="50">
        <f t="shared" si="197"/>
        <v>0</v>
      </c>
      <c r="L558" s="50"/>
      <c r="M558" s="48"/>
      <c r="N558" s="48">
        <f t="shared" si="198"/>
        <v>0</v>
      </c>
      <c r="O558" s="48">
        <f t="shared" si="199"/>
        <v>0</v>
      </c>
      <c r="P558" s="48">
        <f t="shared" si="200"/>
        <v>0</v>
      </c>
      <c r="Q558" s="48">
        <f t="shared" si="201"/>
        <v>0</v>
      </c>
      <c r="R558" s="41">
        <f t="shared" si="202"/>
        <v>0</v>
      </c>
    </row>
    <row r="559" spans="2:19" x14ac:dyDescent="0.2">
      <c r="B559" s="61">
        <f>IF(F559&lt;&gt;"",1+MAX($B$21:B558),"")</f>
        <v>329</v>
      </c>
      <c r="C559" s="198" t="s">
        <v>191</v>
      </c>
      <c r="D559" s="73" t="s">
        <v>464</v>
      </c>
      <c r="E559" s="14" t="s">
        <v>79</v>
      </c>
      <c r="F559" s="19">
        <v>2</v>
      </c>
      <c r="G559" s="205"/>
      <c r="H559" s="205">
        <f t="shared" si="195"/>
        <v>0</v>
      </c>
      <c r="I559" s="205">
        <f t="shared" si="196"/>
        <v>0</v>
      </c>
      <c r="J559" s="11">
        <v>0.26700000000000002</v>
      </c>
      <c r="K559" s="7">
        <f t="shared" si="197"/>
        <v>0.53400000000000003</v>
      </c>
      <c r="L559" s="28" t="s">
        <v>1048</v>
      </c>
      <c r="M559" s="29">
        <v>53.15</v>
      </c>
      <c r="N559" s="48">
        <f t="shared" si="198"/>
        <v>38.852649999999997</v>
      </c>
      <c r="O559" s="48">
        <f t="shared" si="199"/>
        <v>10.373657549999999</v>
      </c>
      <c r="P559" s="48">
        <f t="shared" si="200"/>
        <v>20.747315099999998</v>
      </c>
      <c r="Q559" s="48">
        <f t="shared" si="201"/>
        <v>20.747315099999998</v>
      </c>
      <c r="R559" s="41">
        <f t="shared" si="202"/>
        <v>29.606418647699996</v>
      </c>
    </row>
    <row r="560" spans="2:19" x14ac:dyDescent="0.2">
      <c r="B560" s="61">
        <f>IF(F560&lt;&gt;"",1+MAX($B$21:B559),"")</f>
        <v>330</v>
      </c>
      <c r="C560" s="196"/>
      <c r="D560" s="73" t="s">
        <v>463</v>
      </c>
      <c r="E560" s="14" t="s">
        <v>79</v>
      </c>
      <c r="F560" s="19">
        <v>2</v>
      </c>
      <c r="G560" s="205"/>
      <c r="H560" s="205">
        <f t="shared" si="195"/>
        <v>0</v>
      </c>
      <c r="I560" s="205">
        <f t="shared" si="196"/>
        <v>0</v>
      </c>
      <c r="J560" s="11">
        <v>0.33300000000000002</v>
      </c>
      <c r="K560" s="7">
        <f t="shared" si="197"/>
        <v>0.66600000000000004</v>
      </c>
      <c r="L560" s="28" t="s">
        <v>1048</v>
      </c>
      <c r="M560" s="29">
        <v>53.15</v>
      </c>
      <c r="N560" s="48">
        <f t="shared" si="198"/>
        <v>38.852649999999997</v>
      </c>
      <c r="O560" s="48">
        <f t="shared" si="199"/>
        <v>12.93793245</v>
      </c>
      <c r="P560" s="48">
        <f t="shared" si="200"/>
        <v>25.8758649</v>
      </c>
      <c r="Q560" s="48">
        <f t="shared" si="201"/>
        <v>25.8758649</v>
      </c>
      <c r="R560" s="41">
        <f t="shared" si="202"/>
        <v>36.924859212299999</v>
      </c>
    </row>
    <row r="561" spans="2:19" x14ac:dyDescent="0.2">
      <c r="B561" s="61">
        <f>IF(F561&lt;&gt;"",1+MAX($B$21:B560),"")</f>
        <v>331</v>
      </c>
      <c r="C561" s="196"/>
      <c r="D561" s="73" t="s">
        <v>465</v>
      </c>
      <c r="E561" s="14" t="s">
        <v>79</v>
      </c>
      <c r="F561" s="19">
        <v>2</v>
      </c>
      <c r="G561" s="205"/>
      <c r="H561" s="205">
        <f t="shared" si="195"/>
        <v>0</v>
      </c>
      <c r="I561" s="205">
        <f t="shared" si="196"/>
        <v>0</v>
      </c>
      <c r="J561" s="11">
        <v>0.4</v>
      </c>
      <c r="K561" s="7">
        <f t="shared" ref="K561" si="204">F561*J561</f>
        <v>0.8</v>
      </c>
      <c r="L561" s="28" t="s">
        <v>1048</v>
      </c>
      <c r="M561" s="29">
        <v>53.15</v>
      </c>
      <c r="N561" s="48">
        <f t="shared" si="198"/>
        <v>38.852649999999997</v>
      </c>
      <c r="O561" s="48">
        <f t="shared" si="199"/>
        <v>15.54106</v>
      </c>
      <c r="P561" s="48">
        <f t="shared" si="200"/>
        <v>31.08212</v>
      </c>
      <c r="Q561" s="48">
        <f t="shared" si="201"/>
        <v>31.08212</v>
      </c>
      <c r="R561" s="41">
        <f t="shared" si="202"/>
        <v>44.354185239999993</v>
      </c>
    </row>
    <row r="562" spans="2:19" ht="25.5" x14ac:dyDescent="0.2">
      <c r="B562" s="61" t="str">
        <f>IF(F562&lt;&gt;"",1+MAX($B$21:B561),"")</f>
        <v/>
      </c>
      <c r="C562" s="197"/>
      <c r="D562" s="76" t="s">
        <v>1035</v>
      </c>
      <c r="E562" s="14"/>
      <c r="F562" s="19"/>
      <c r="G562" s="48"/>
      <c r="H562" s="48">
        <f t="shared" si="195"/>
        <v>0</v>
      </c>
      <c r="I562" s="48">
        <f t="shared" si="196"/>
        <v>0</v>
      </c>
      <c r="J562" s="49"/>
      <c r="K562" s="50">
        <f t="shared" si="197"/>
        <v>0</v>
      </c>
      <c r="L562" s="50"/>
      <c r="M562" s="48"/>
      <c r="N562" s="48">
        <f t="shared" si="198"/>
        <v>0</v>
      </c>
      <c r="O562" s="48">
        <f t="shared" si="199"/>
        <v>0</v>
      </c>
      <c r="P562" s="48">
        <f t="shared" si="200"/>
        <v>0</v>
      </c>
      <c r="Q562" s="48">
        <f t="shared" si="201"/>
        <v>0</v>
      </c>
      <c r="R562" s="41">
        <f t="shared" si="202"/>
        <v>0</v>
      </c>
    </row>
    <row r="563" spans="2:19" x14ac:dyDescent="0.2">
      <c r="B563" s="61" t="str">
        <f>IF(F563&lt;&gt;"",1+MAX($B$21:B562),"")</f>
        <v/>
      </c>
      <c r="C563" s="67"/>
      <c r="D563" s="73"/>
      <c r="E563" s="14"/>
      <c r="F563" s="19"/>
      <c r="G563" s="48"/>
      <c r="H563" s="48">
        <f t="shared" si="195"/>
        <v>0</v>
      </c>
      <c r="I563" s="48">
        <f t="shared" si="196"/>
        <v>0</v>
      </c>
      <c r="J563" s="49"/>
      <c r="K563" s="50">
        <f t="shared" si="197"/>
        <v>0</v>
      </c>
      <c r="L563" s="50"/>
      <c r="M563" s="48"/>
      <c r="N563" s="48">
        <f t="shared" si="198"/>
        <v>0</v>
      </c>
      <c r="O563" s="48">
        <f t="shared" si="199"/>
        <v>0</v>
      </c>
      <c r="P563" s="48">
        <f t="shared" si="200"/>
        <v>0</v>
      </c>
      <c r="Q563" s="48">
        <f t="shared" si="201"/>
        <v>0</v>
      </c>
      <c r="R563" s="41">
        <f t="shared" si="202"/>
        <v>0</v>
      </c>
    </row>
    <row r="564" spans="2:19" x14ac:dyDescent="0.2">
      <c r="B564" s="62" t="str">
        <f>IF(F564&lt;&gt;"",1+MAX($B$21:B563),"")</f>
        <v/>
      </c>
      <c r="C564" s="68"/>
      <c r="D564" s="74" t="s">
        <v>106</v>
      </c>
      <c r="E564" s="14"/>
      <c r="F564" s="19"/>
      <c r="G564" s="48"/>
      <c r="H564" s="48">
        <f t="shared" si="195"/>
        <v>0</v>
      </c>
      <c r="I564" s="48">
        <f t="shared" si="196"/>
        <v>0</v>
      </c>
      <c r="J564" s="49"/>
      <c r="K564" s="50">
        <f t="shared" si="197"/>
        <v>0</v>
      </c>
      <c r="L564" s="50"/>
      <c r="M564" s="48"/>
      <c r="N564" s="48">
        <f t="shared" si="198"/>
        <v>0</v>
      </c>
      <c r="O564" s="48">
        <f t="shared" si="199"/>
        <v>0</v>
      </c>
      <c r="P564" s="48">
        <f t="shared" si="200"/>
        <v>0</v>
      </c>
      <c r="Q564" s="48">
        <f t="shared" si="201"/>
        <v>0</v>
      </c>
      <c r="R564" s="41">
        <f t="shared" si="202"/>
        <v>0</v>
      </c>
    </row>
    <row r="565" spans="2:19" x14ac:dyDescent="0.2">
      <c r="B565" s="61">
        <f>IF(F565&lt;&gt;"",1+MAX($B$21:B564),"")</f>
        <v>332</v>
      </c>
      <c r="C565" s="198" t="s">
        <v>455</v>
      </c>
      <c r="D565" s="73" t="s">
        <v>452</v>
      </c>
      <c r="E565" s="14" t="s">
        <v>79</v>
      </c>
      <c r="F565" s="19">
        <v>3</v>
      </c>
      <c r="G565" s="48">
        <v>28</v>
      </c>
      <c r="H565" s="48">
        <f t="shared" si="195"/>
        <v>26.655999999999999</v>
      </c>
      <c r="I565" s="48">
        <f t="shared" si="196"/>
        <v>79.967999999999989</v>
      </c>
      <c r="J565" s="49">
        <v>0.35</v>
      </c>
      <c r="K565" s="50">
        <f t="shared" si="197"/>
        <v>1.0499999999999998</v>
      </c>
      <c r="L565" s="50" t="s">
        <v>1048</v>
      </c>
      <c r="M565" s="48">
        <v>53.15</v>
      </c>
      <c r="N565" s="48">
        <f t="shared" si="198"/>
        <v>38.852649999999997</v>
      </c>
      <c r="O565" s="48">
        <f t="shared" si="199"/>
        <v>13.598427499999998</v>
      </c>
      <c r="P565" s="48">
        <f t="shared" si="200"/>
        <v>40.795282499999992</v>
      </c>
      <c r="Q565" s="48">
        <f t="shared" si="201"/>
        <v>120.76328249999997</v>
      </c>
      <c r="R565" s="41">
        <f t="shared" si="202"/>
        <v>169.88218332749997</v>
      </c>
    </row>
    <row r="566" spans="2:19" ht="25.5" x14ac:dyDescent="0.2">
      <c r="B566" s="61">
        <f>IF(F566&lt;&gt;"",1+MAX($B$21:B565),"")</f>
        <v>333</v>
      </c>
      <c r="C566" s="196"/>
      <c r="D566" s="73" t="s">
        <v>453</v>
      </c>
      <c r="E566" s="14" t="s">
        <v>79</v>
      </c>
      <c r="F566" s="19">
        <v>1</v>
      </c>
      <c r="G566" s="48">
        <v>35</v>
      </c>
      <c r="H566" s="48">
        <f t="shared" si="195"/>
        <v>33.32</v>
      </c>
      <c r="I566" s="48">
        <f t="shared" si="196"/>
        <v>33.32</v>
      </c>
      <c r="J566" s="49">
        <v>0.35</v>
      </c>
      <c r="K566" s="50">
        <f t="shared" si="197"/>
        <v>0.35</v>
      </c>
      <c r="L566" s="50" t="s">
        <v>1048</v>
      </c>
      <c r="M566" s="48">
        <v>53.15</v>
      </c>
      <c r="N566" s="48">
        <f t="shared" si="198"/>
        <v>38.852649999999997</v>
      </c>
      <c r="O566" s="48">
        <f t="shared" si="199"/>
        <v>13.598427499999998</v>
      </c>
      <c r="P566" s="48">
        <f t="shared" si="200"/>
        <v>13.598427499999998</v>
      </c>
      <c r="Q566" s="48">
        <f t="shared" si="201"/>
        <v>46.9184275</v>
      </c>
      <c r="R566" s="41">
        <f t="shared" si="202"/>
        <v>65.933004042500002</v>
      </c>
    </row>
    <row r="567" spans="2:19" x14ac:dyDescent="0.2">
      <c r="B567" s="61">
        <f>IF(F567&lt;&gt;"",1+MAX($B$21:B566),"")</f>
        <v>334</v>
      </c>
      <c r="C567" s="197"/>
      <c r="D567" s="73" t="s">
        <v>454</v>
      </c>
      <c r="E567" s="14" t="s">
        <v>79</v>
      </c>
      <c r="F567" s="19">
        <v>1</v>
      </c>
      <c r="G567" s="48">
        <v>35</v>
      </c>
      <c r="H567" s="48">
        <f t="shared" si="195"/>
        <v>33.32</v>
      </c>
      <c r="I567" s="48">
        <f t="shared" si="196"/>
        <v>33.32</v>
      </c>
      <c r="J567" s="49">
        <v>0.35</v>
      </c>
      <c r="K567" s="50">
        <f t="shared" si="197"/>
        <v>0.35</v>
      </c>
      <c r="L567" s="50" t="s">
        <v>1048</v>
      </c>
      <c r="M567" s="48">
        <v>53.15</v>
      </c>
      <c r="N567" s="48">
        <f t="shared" si="198"/>
        <v>38.852649999999997</v>
      </c>
      <c r="O567" s="48">
        <f t="shared" si="199"/>
        <v>13.598427499999998</v>
      </c>
      <c r="P567" s="48">
        <f t="shared" si="200"/>
        <v>13.598427499999998</v>
      </c>
      <c r="Q567" s="48">
        <f t="shared" si="201"/>
        <v>46.9184275</v>
      </c>
      <c r="R567" s="41">
        <f t="shared" si="202"/>
        <v>65.933004042500002</v>
      </c>
    </row>
    <row r="568" spans="2:19" x14ac:dyDescent="0.2">
      <c r="B568" s="61" t="str">
        <f>IF(F568&lt;&gt;"",1+MAX($B$21:B567),"")</f>
        <v/>
      </c>
      <c r="C568" s="67"/>
      <c r="D568" s="73"/>
      <c r="E568" s="14"/>
      <c r="F568" s="19"/>
      <c r="G568" s="48"/>
      <c r="H568" s="48">
        <f t="shared" si="195"/>
        <v>0</v>
      </c>
      <c r="I568" s="48">
        <f t="shared" si="196"/>
        <v>0</v>
      </c>
      <c r="J568" s="49"/>
      <c r="K568" s="50">
        <f t="shared" si="197"/>
        <v>0</v>
      </c>
      <c r="L568" s="50"/>
      <c r="M568" s="48"/>
      <c r="N568" s="48">
        <f t="shared" si="198"/>
        <v>0</v>
      </c>
      <c r="O568" s="48">
        <f t="shared" si="199"/>
        <v>0</v>
      </c>
      <c r="P568" s="48">
        <f t="shared" si="200"/>
        <v>0</v>
      </c>
      <c r="Q568" s="48">
        <f t="shared" si="201"/>
        <v>0</v>
      </c>
      <c r="R568" s="41">
        <f t="shared" si="202"/>
        <v>0</v>
      </c>
    </row>
    <row r="569" spans="2:19" x14ac:dyDescent="0.2">
      <c r="B569" s="62" t="str">
        <f>IF(F569&lt;&gt;"",1+MAX($B$21:B568),"")</f>
        <v/>
      </c>
      <c r="C569" s="68"/>
      <c r="D569" s="74" t="s">
        <v>131</v>
      </c>
      <c r="E569" s="14"/>
      <c r="F569" s="19"/>
      <c r="G569" s="48"/>
      <c r="H569" s="48">
        <f t="shared" si="195"/>
        <v>0</v>
      </c>
      <c r="I569" s="48">
        <f t="shared" si="196"/>
        <v>0</v>
      </c>
      <c r="J569" s="49"/>
      <c r="K569" s="50">
        <f t="shared" si="197"/>
        <v>0</v>
      </c>
      <c r="L569" s="50"/>
      <c r="M569" s="48"/>
      <c r="N569" s="48">
        <f t="shared" si="198"/>
        <v>0</v>
      </c>
      <c r="O569" s="48">
        <f t="shared" si="199"/>
        <v>0</v>
      </c>
      <c r="P569" s="48">
        <f t="shared" si="200"/>
        <v>0</v>
      </c>
      <c r="Q569" s="48">
        <f t="shared" si="201"/>
        <v>0</v>
      </c>
      <c r="R569" s="41">
        <f t="shared" si="202"/>
        <v>0</v>
      </c>
    </row>
    <row r="570" spans="2:19" x14ac:dyDescent="0.2">
      <c r="B570" s="61">
        <f>IF(F570&lt;&gt;"",1+MAX($B$21:B569),"")</f>
        <v>335</v>
      </c>
      <c r="C570" s="67" t="s">
        <v>455</v>
      </c>
      <c r="D570" s="73" t="s">
        <v>451</v>
      </c>
      <c r="E570" s="14" t="s">
        <v>79</v>
      </c>
      <c r="F570" s="19">
        <v>2</v>
      </c>
      <c r="G570" s="12">
        <v>300</v>
      </c>
      <c r="H570" s="12">
        <f t="shared" si="195"/>
        <v>285.59999999999997</v>
      </c>
      <c r="I570" s="12">
        <f t="shared" si="196"/>
        <v>571.19999999999993</v>
      </c>
      <c r="J570" s="11">
        <v>0.53600000000000003</v>
      </c>
      <c r="K570" s="7">
        <f t="shared" si="197"/>
        <v>1.0720000000000001</v>
      </c>
      <c r="L570" s="28" t="s">
        <v>1048</v>
      </c>
      <c r="M570" s="29">
        <v>53.15</v>
      </c>
      <c r="N570" s="48">
        <f t="shared" si="198"/>
        <v>38.852649999999997</v>
      </c>
      <c r="O570" s="48">
        <f t="shared" si="199"/>
        <v>20.8250204</v>
      </c>
      <c r="P570" s="48">
        <f t="shared" si="200"/>
        <v>41.650040799999999</v>
      </c>
      <c r="Q570" s="48">
        <f t="shared" si="201"/>
        <v>612.85004079999999</v>
      </c>
      <c r="R570" s="41">
        <f t="shared" si="202"/>
        <v>857.05828822160004</v>
      </c>
    </row>
    <row r="571" spans="2:19" x14ac:dyDescent="0.2">
      <c r="B571" s="61" t="str">
        <f>IF(F571&lt;&gt;"",1+MAX($B$21:B570),"")</f>
        <v/>
      </c>
      <c r="C571" s="67"/>
      <c r="D571" s="73"/>
      <c r="E571" s="14"/>
      <c r="F571" s="19"/>
      <c r="G571" s="48"/>
      <c r="H571" s="48">
        <f t="shared" si="195"/>
        <v>0</v>
      </c>
      <c r="I571" s="48">
        <f t="shared" si="196"/>
        <v>0</v>
      </c>
      <c r="J571" s="49"/>
      <c r="K571" s="50">
        <f t="shared" si="197"/>
        <v>0</v>
      </c>
      <c r="L571" s="50"/>
      <c r="M571" s="48"/>
      <c r="N571" s="48">
        <f t="shared" si="198"/>
        <v>0</v>
      </c>
      <c r="O571" s="48">
        <f t="shared" si="199"/>
        <v>0</v>
      </c>
      <c r="P571" s="48">
        <f t="shared" si="200"/>
        <v>0</v>
      </c>
      <c r="Q571" s="48">
        <f t="shared" si="201"/>
        <v>0</v>
      </c>
      <c r="R571" s="41">
        <f t="shared" si="202"/>
        <v>0</v>
      </c>
    </row>
    <row r="572" spans="2:19" x14ac:dyDescent="0.2">
      <c r="B572" s="62" t="str">
        <f>IF(F572&lt;&gt;"",1+MAX($B$21:B571),"")</f>
        <v/>
      </c>
      <c r="C572" s="68"/>
      <c r="D572" s="74" t="s">
        <v>578</v>
      </c>
      <c r="E572" s="14"/>
      <c r="F572" s="19"/>
      <c r="G572" s="48"/>
      <c r="H572" s="48">
        <f t="shared" si="195"/>
        <v>0</v>
      </c>
      <c r="I572" s="48">
        <f t="shared" si="196"/>
        <v>0</v>
      </c>
      <c r="J572" s="49"/>
      <c r="K572" s="50">
        <f t="shared" si="197"/>
        <v>0</v>
      </c>
      <c r="L572" s="50"/>
      <c r="M572" s="48"/>
      <c r="N572" s="48">
        <f t="shared" si="198"/>
        <v>0</v>
      </c>
      <c r="O572" s="48">
        <f t="shared" si="199"/>
        <v>0</v>
      </c>
      <c r="P572" s="48">
        <f t="shared" si="200"/>
        <v>0</v>
      </c>
      <c r="Q572" s="48">
        <f t="shared" si="201"/>
        <v>0</v>
      </c>
      <c r="R572" s="41">
        <f t="shared" si="202"/>
        <v>0</v>
      </c>
    </row>
    <row r="573" spans="2:19" ht="38.25" x14ac:dyDescent="0.2">
      <c r="B573" s="61">
        <f>IF(F573&lt;&gt;"",1+MAX($B$21:B572),"")</f>
        <v>336</v>
      </c>
      <c r="C573" s="67" t="s">
        <v>573</v>
      </c>
      <c r="D573" s="73" t="s">
        <v>579</v>
      </c>
      <c r="E573" s="14" t="s">
        <v>72</v>
      </c>
      <c r="F573" s="19">
        <v>36</v>
      </c>
      <c r="G573" s="48">
        <v>18</v>
      </c>
      <c r="H573" s="48">
        <f t="shared" si="195"/>
        <v>17.135999999999999</v>
      </c>
      <c r="I573" s="48">
        <f t="shared" si="196"/>
        <v>616.89599999999996</v>
      </c>
      <c r="J573" s="49">
        <v>7.4999999999999997E-2</v>
      </c>
      <c r="K573" s="50">
        <f t="shared" si="197"/>
        <v>2.6999999999999997</v>
      </c>
      <c r="L573" s="50" t="s">
        <v>1052</v>
      </c>
      <c r="M573" s="48">
        <v>53.15</v>
      </c>
      <c r="N573" s="48">
        <f t="shared" si="198"/>
        <v>38.852649999999997</v>
      </c>
      <c r="O573" s="48">
        <f t="shared" si="199"/>
        <v>2.9139487499999999</v>
      </c>
      <c r="P573" s="48">
        <f t="shared" si="200"/>
        <v>104.90215499999999</v>
      </c>
      <c r="Q573" s="48">
        <f t="shared" si="201"/>
        <v>721.79815499999995</v>
      </c>
      <c r="R573" s="41">
        <f t="shared" si="202"/>
        <v>1011.1289495849999</v>
      </c>
    </row>
    <row r="574" spans="2:19" ht="13.5" thickBot="1" x14ac:dyDescent="0.25">
      <c r="B574" s="61" t="str">
        <f>IF(F574&lt;&gt;"",1+MAX($B$21:B573),"")</f>
        <v/>
      </c>
      <c r="C574" s="67"/>
      <c r="D574" s="73"/>
      <c r="E574" s="14"/>
      <c r="F574" s="19"/>
      <c r="G574" s="48"/>
      <c r="H574" s="48">
        <f t="shared" si="195"/>
        <v>0</v>
      </c>
      <c r="I574" s="48">
        <f t="shared" si="196"/>
        <v>0</v>
      </c>
      <c r="J574" s="49"/>
      <c r="K574" s="50">
        <f t="shared" si="197"/>
        <v>0</v>
      </c>
      <c r="L574" s="50"/>
      <c r="M574" s="48"/>
      <c r="N574" s="48">
        <f t="shared" si="198"/>
        <v>0</v>
      </c>
      <c r="O574" s="48">
        <f t="shared" si="199"/>
        <v>0</v>
      </c>
      <c r="P574" s="48">
        <f t="shared" si="200"/>
        <v>0</v>
      </c>
      <c r="Q574" s="48">
        <f t="shared" si="201"/>
        <v>0</v>
      </c>
      <c r="R574" s="41">
        <f t="shared" si="202"/>
        <v>0</v>
      </c>
    </row>
    <row r="575" spans="2:19" s="9" customFormat="1" ht="26.25" thickBot="1" x14ac:dyDescent="0.25">
      <c r="B575" s="59" t="str">
        <f>IF(F575&lt;&gt;"",1+MAX($B$21:B574),"")</f>
        <v/>
      </c>
      <c r="C575" s="65" t="s">
        <v>49</v>
      </c>
      <c r="D575" s="72" t="s">
        <v>124</v>
      </c>
      <c r="E575" s="51"/>
      <c r="F575" s="51"/>
      <c r="G575" s="51"/>
      <c r="H575" s="52" t="s">
        <v>61</v>
      </c>
      <c r="I575" s="53">
        <f>SUM(I576:I588)</f>
        <v>20308.063999999998</v>
      </c>
      <c r="J575" s="54"/>
      <c r="K575" s="55" t="str">
        <f>ROUND(SUM(K576:K588),0) &amp; " " &amp; "HRS"</f>
        <v>27 HRS</v>
      </c>
      <c r="L575" s="56"/>
      <c r="M575" s="56"/>
      <c r="N575" s="56"/>
      <c r="O575" s="52" t="s">
        <v>62</v>
      </c>
      <c r="P575" s="53">
        <f>SUM(P576:P588)</f>
        <v>1139.4155845499999</v>
      </c>
      <c r="Q575" s="57">
        <f>SUM(Q576:Q588)</f>
        <v>21447.479584550001</v>
      </c>
      <c r="R575" s="58">
        <f>(Q575)+(I575*$Q$7)+(P575*$Q$8)+(Q575*$Q$9)+($Q$10*((Q575)+(I575*$Q$7)+(P575*$Q$8)+(Q575*$Q$9)))+(Q575*$Q$11)</f>
        <v>29984.126608752857</v>
      </c>
    </row>
    <row r="576" spans="2:19" x14ac:dyDescent="0.2">
      <c r="B576" s="61" t="str">
        <f>IF(F576&lt;&gt;"",1+MAX($B$21:B575),"")</f>
        <v/>
      </c>
      <c r="C576" s="67"/>
      <c r="D576" s="73"/>
      <c r="E576" s="14"/>
      <c r="F576" s="19"/>
      <c r="G576" s="48"/>
      <c r="H576" s="48">
        <f t="shared" ref="H576:H588" si="205">G576*$T$2</f>
        <v>0</v>
      </c>
      <c r="I576" s="48">
        <f t="shared" ref="I576:I588" si="206">F576*H576</f>
        <v>0</v>
      </c>
      <c r="J576" s="49"/>
      <c r="K576" s="50">
        <f t="shared" ref="K576:K588" si="207">F576*J576</f>
        <v>0</v>
      </c>
      <c r="L576" s="50"/>
      <c r="M576" s="48"/>
      <c r="N576" s="48">
        <f t="shared" ref="N576:N588" si="208">M576*$U$2</f>
        <v>0</v>
      </c>
      <c r="O576" s="48">
        <f t="shared" ref="O576:O588" si="209">J576*N576</f>
        <v>0</v>
      </c>
      <c r="P576" s="48">
        <f t="shared" ref="P576:P588" si="210">F576*O576</f>
        <v>0</v>
      </c>
      <c r="Q576" s="48">
        <f t="shared" ref="Q576:Q588" si="211">I576+P576</f>
        <v>0</v>
      </c>
      <c r="R576" s="41">
        <f t="shared" ref="R576:R588" si="212">Q576+(I576*$Q$7)+(P576*$Q$8)+(Q576*$Q$9)+(Q576*$Q$11)+($Q$10*(Q576+(I576*$Q$7)+(P576*$Q$8)+(Q576*$Q$9)))</f>
        <v>0</v>
      </c>
      <c r="S576" s="9"/>
    </row>
    <row r="577" spans="2:19" x14ac:dyDescent="0.2">
      <c r="B577" s="62" t="str">
        <f>IF(F577&lt;&gt;"",1+MAX($B$21:B576),"")</f>
        <v/>
      </c>
      <c r="C577" s="68"/>
      <c r="D577" s="74" t="s">
        <v>444</v>
      </c>
      <c r="E577" s="14"/>
      <c r="F577" s="19"/>
      <c r="G577" s="48"/>
      <c r="H577" s="48">
        <f t="shared" si="205"/>
        <v>0</v>
      </c>
      <c r="I577" s="48">
        <f t="shared" si="206"/>
        <v>0</v>
      </c>
      <c r="J577" s="49"/>
      <c r="K577" s="50">
        <f t="shared" si="207"/>
        <v>0</v>
      </c>
      <c r="L577" s="50"/>
      <c r="M577" s="48"/>
      <c r="N577" s="48">
        <f t="shared" si="208"/>
        <v>0</v>
      </c>
      <c r="O577" s="48">
        <f t="shared" si="209"/>
        <v>0</v>
      </c>
      <c r="P577" s="48">
        <f t="shared" si="210"/>
        <v>0</v>
      </c>
      <c r="Q577" s="48">
        <f t="shared" si="211"/>
        <v>0</v>
      </c>
      <c r="R577" s="41">
        <f t="shared" si="212"/>
        <v>0</v>
      </c>
    </row>
    <row r="578" spans="2:19" ht="38.25" x14ac:dyDescent="0.2">
      <c r="B578" s="61">
        <f>IF(F578&lt;&gt;"",1+MAX($B$21:B577),"")</f>
        <v>337</v>
      </c>
      <c r="C578" s="195" t="s">
        <v>512</v>
      </c>
      <c r="D578" s="73" t="s">
        <v>445</v>
      </c>
      <c r="E578" s="14" t="s">
        <v>79</v>
      </c>
      <c r="F578" s="19">
        <v>1</v>
      </c>
      <c r="G578" s="48">
        <v>1599</v>
      </c>
      <c r="H578" s="48">
        <f t="shared" si="205"/>
        <v>1522.2479999999998</v>
      </c>
      <c r="I578" s="48">
        <f t="shared" si="206"/>
        <v>1522.2479999999998</v>
      </c>
      <c r="J578" s="11">
        <v>4</v>
      </c>
      <c r="K578" s="7">
        <f t="shared" si="207"/>
        <v>4</v>
      </c>
      <c r="L578" s="28" t="s">
        <v>1074</v>
      </c>
      <c r="M578" s="29">
        <v>58</v>
      </c>
      <c r="N578" s="48">
        <f t="shared" si="208"/>
        <v>42.397999999999996</v>
      </c>
      <c r="O578" s="48">
        <f t="shared" si="209"/>
        <v>169.59199999999998</v>
      </c>
      <c r="P578" s="48">
        <f t="shared" si="210"/>
        <v>169.59199999999998</v>
      </c>
      <c r="Q578" s="48">
        <f t="shared" si="211"/>
        <v>1691.8399999999997</v>
      </c>
      <c r="R578" s="41">
        <f t="shared" si="212"/>
        <v>2367.6748911999998</v>
      </c>
    </row>
    <row r="579" spans="2:19" ht="38.25" x14ac:dyDescent="0.2">
      <c r="B579" s="61">
        <f>IF(F579&lt;&gt;"",1+MAX($B$21:B578),"")</f>
        <v>338</v>
      </c>
      <c r="C579" s="195"/>
      <c r="D579" s="73" t="s">
        <v>446</v>
      </c>
      <c r="E579" s="14" t="s">
        <v>79</v>
      </c>
      <c r="F579" s="19">
        <v>1</v>
      </c>
      <c r="G579" s="48">
        <v>175</v>
      </c>
      <c r="H579" s="48">
        <f t="shared" si="205"/>
        <v>166.6</v>
      </c>
      <c r="I579" s="48">
        <f t="shared" si="206"/>
        <v>166.6</v>
      </c>
      <c r="J579" s="49">
        <v>0.75</v>
      </c>
      <c r="K579" s="50">
        <f t="shared" si="207"/>
        <v>0.75</v>
      </c>
      <c r="L579" s="50" t="s">
        <v>1045</v>
      </c>
      <c r="M579" s="29">
        <v>42.1</v>
      </c>
      <c r="N579" s="48">
        <f t="shared" si="208"/>
        <v>30.775100000000002</v>
      </c>
      <c r="O579" s="48">
        <f t="shared" si="209"/>
        <v>23.081325</v>
      </c>
      <c r="P579" s="48">
        <f t="shared" si="210"/>
        <v>23.081325</v>
      </c>
      <c r="Q579" s="48">
        <f t="shared" si="211"/>
        <v>189.68132499999999</v>
      </c>
      <c r="R579" s="41">
        <f t="shared" si="212"/>
        <v>265.57729077499999</v>
      </c>
    </row>
    <row r="580" spans="2:19" ht="38.25" x14ac:dyDescent="0.2">
      <c r="B580" s="61">
        <f>IF(F580&lt;&gt;"",1+MAX($B$21:B579),"")</f>
        <v>339</v>
      </c>
      <c r="C580" s="195"/>
      <c r="D580" s="73" t="s">
        <v>447</v>
      </c>
      <c r="E580" s="14" t="s">
        <v>79</v>
      </c>
      <c r="F580" s="19">
        <v>1</v>
      </c>
      <c r="G580" s="48">
        <v>2610</v>
      </c>
      <c r="H580" s="48">
        <f t="shared" si="205"/>
        <v>2484.7199999999998</v>
      </c>
      <c r="I580" s="48">
        <f t="shared" si="206"/>
        <v>2484.7199999999998</v>
      </c>
      <c r="J580" s="11">
        <v>5.3440000000000003</v>
      </c>
      <c r="K580" s="7">
        <f t="shared" si="207"/>
        <v>5.3440000000000003</v>
      </c>
      <c r="L580" s="28" t="s">
        <v>1073</v>
      </c>
      <c r="M580" s="29">
        <v>42.1</v>
      </c>
      <c r="N580" s="48">
        <f t="shared" si="208"/>
        <v>30.775100000000002</v>
      </c>
      <c r="O580" s="48">
        <f t="shared" si="209"/>
        <v>164.46213440000002</v>
      </c>
      <c r="P580" s="48">
        <f t="shared" si="210"/>
        <v>164.46213440000002</v>
      </c>
      <c r="Q580" s="48">
        <f t="shared" si="211"/>
        <v>2649.1821344</v>
      </c>
      <c r="R580" s="41">
        <f t="shared" si="212"/>
        <v>3704.3504737888002</v>
      </c>
    </row>
    <row r="581" spans="2:19" ht="38.25" x14ac:dyDescent="0.2">
      <c r="B581" s="61">
        <f>IF(F581&lt;&gt;"",1+MAX($B$21:B580),"")</f>
        <v>340</v>
      </c>
      <c r="C581" s="195"/>
      <c r="D581" s="73" t="s">
        <v>448</v>
      </c>
      <c r="E581" s="14" t="s">
        <v>79</v>
      </c>
      <c r="F581" s="19">
        <v>1</v>
      </c>
      <c r="G581" s="48">
        <v>929</v>
      </c>
      <c r="H581" s="48">
        <f t="shared" si="205"/>
        <v>884.40800000000002</v>
      </c>
      <c r="I581" s="48">
        <f t="shared" si="206"/>
        <v>884.40800000000002</v>
      </c>
      <c r="J581" s="11">
        <v>4</v>
      </c>
      <c r="K581" s="7">
        <f t="shared" si="207"/>
        <v>4</v>
      </c>
      <c r="L581" s="28" t="s">
        <v>1075</v>
      </c>
      <c r="M581" s="29">
        <v>62.9</v>
      </c>
      <c r="N581" s="48">
        <f t="shared" si="208"/>
        <v>45.979900000000001</v>
      </c>
      <c r="O581" s="48">
        <f t="shared" si="209"/>
        <v>183.9196</v>
      </c>
      <c r="P581" s="48">
        <f t="shared" si="210"/>
        <v>183.9196</v>
      </c>
      <c r="Q581" s="48">
        <f t="shared" si="211"/>
        <v>1068.3276000000001</v>
      </c>
      <c r="R581" s="41">
        <f t="shared" si="212"/>
        <v>1497.4406004</v>
      </c>
    </row>
    <row r="582" spans="2:19" ht="38.25" x14ac:dyDescent="0.2">
      <c r="B582" s="61">
        <f>IF(F582&lt;&gt;"",1+MAX($B$21:B581),"")</f>
        <v>341</v>
      </c>
      <c r="C582" s="195"/>
      <c r="D582" s="73" t="s">
        <v>449</v>
      </c>
      <c r="E582" s="14" t="s">
        <v>79</v>
      </c>
      <c r="F582" s="19">
        <v>1</v>
      </c>
      <c r="G582" s="48">
        <v>519</v>
      </c>
      <c r="H582" s="48">
        <f t="shared" si="205"/>
        <v>494.08799999999997</v>
      </c>
      <c r="I582" s="48">
        <f t="shared" si="206"/>
        <v>494.08799999999997</v>
      </c>
      <c r="J582" s="11">
        <v>1.25</v>
      </c>
      <c r="K582" s="7">
        <f t="shared" ref="K582" si="213">F582*J582</f>
        <v>1.25</v>
      </c>
      <c r="L582" s="28" t="s">
        <v>1076</v>
      </c>
      <c r="M582" s="29">
        <v>64.45</v>
      </c>
      <c r="N582" s="48">
        <f t="shared" si="208"/>
        <v>47.112949999999998</v>
      </c>
      <c r="O582" s="48">
        <f t="shared" si="209"/>
        <v>58.891187500000001</v>
      </c>
      <c r="P582" s="48">
        <f t="shared" si="210"/>
        <v>58.891187500000001</v>
      </c>
      <c r="Q582" s="48">
        <f t="shared" si="211"/>
        <v>552.97918749999997</v>
      </c>
      <c r="R582" s="41">
        <f t="shared" si="212"/>
        <v>773.98220776249991</v>
      </c>
    </row>
    <row r="583" spans="2:19" x14ac:dyDescent="0.2">
      <c r="B583" s="61" t="str">
        <f>IF(F583&lt;&gt;"",1+MAX($B$21:B582),"")</f>
        <v/>
      </c>
      <c r="C583" s="195"/>
      <c r="D583" s="76" t="s">
        <v>1034</v>
      </c>
      <c r="E583" s="14"/>
      <c r="F583" s="19"/>
      <c r="G583" s="48"/>
      <c r="H583" s="48">
        <f t="shared" si="205"/>
        <v>0</v>
      </c>
      <c r="I583" s="48">
        <f t="shared" si="206"/>
        <v>0</v>
      </c>
      <c r="J583" s="49"/>
      <c r="K583" s="50">
        <f t="shared" si="207"/>
        <v>0</v>
      </c>
      <c r="L583" s="50"/>
      <c r="M583" s="48"/>
      <c r="N583" s="48">
        <f t="shared" si="208"/>
        <v>0</v>
      </c>
      <c r="O583" s="48">
        <f t="shared" si="209"/>
        <v>0</v>
      </c>
      <c r="P583" s="48">
        <f t="shared" si="210"/>
        <v>0</v>
      </c>
      <c r="Q583" s="48">
        <f t="shared" si="211"/>
        <v>0</v>
      </c>
      <c r="R583" s="41">
        <f t="shared" si="212"/>
        <v>0</v>
      </c>
    </row>
    <row r="584" spans="2:19" ht="51" x14ac:dyDescent="0.2">
      <c r="B584" s="61">
        <f>IF(F584&lt;&gt;"",1+MAX($B$21:B583),"")</f>
        <v>342</v>
      </c>
      <c r="C584" s="195"/>
      <c r="D584" s="73" t="s">
        <v>1037</v>
      </c>
      <c r="E584" s="14" t="s">
        <v>79</v>
      </c>
      <c r="F584" s="19">
        <v>1</v>
      </c>
      <c r="G584" s="205"/>
      <c r="H584" s="205">
        <f t="shared" si="205"/>
        <v>0</v>
      </c>
      <c r="I584" s="205">
        <f t="shared" si="206"/>
        <v>0</v>
      </c>
      <c r="J584" s="11">
        <v>2.6669999999999998</v>
      </c>
      <c r="K584" s="7">
        <f t="shared" si="207"/>
        <v>2.6669999999999998</v>
      </c>
      <c r="L584" s="28" t="s">
        <v>1076</v>
      </c>
      <c r="M584" s="29">
        <v>64.45</v>
      </c>
      <c r="N584" s="48">
        <f t="shared" si="208"/>
        <v>47.112949999999998</v>
      </c>
      <c r="O584" s="48">
        <f t="shared" si="209"/>
        <v>125.65023764999998</v>
      </c>
      <c r="P584" s="48">
        <f t="shared" si="210"/>
        <v>125.65023764999998</v>
      </c>
      <c r="Q584" s="48">
        <f t="shared" si="211"/>
        <v>125.65023764999998</v>
      </c>
      <c r="R584" s="41">
        <f t="shared" si="212"/>
        <v>179.30288912654999</v>
      </c>
    </row>
    <row r="585" spans="2:19" x14ac:dyDescent="0.2">
      <c r="B585" s="61" t="str">
        <f>IF(F585&lt;&gt;"",1+MAX($B$21:B584),"")</f>
        <v/>
      </c>
      <c r="C585" s="67"/>
      <c r="D585" s="73"/>
      <c r="E585" s="14"/>
      <c r="F585" s="19"/>
      <c r="G585" s="48"/>
      <c r="H585" s="48">
        <f t="shared" si="205"/>
        <v>0</v>
      </c>
      <c r="I585" s="48">
        <f t="shared" si="206"/>
        <v>0</v>
      </c>
      <c r="J585" s="49"/>
      <c r="K585" s="50">
        <f t="shared" si="207"/>
        <v>0</v>
      </c>
      <c r="L585" s="50"/>
      <c r="M585" s="48"/>
      <c r="N585" s="48">
        <f t="shared" si="208"/>
        <v>0</v>
      </c>
      <c r="O585" s="48">
        <f t="shared" si="209"/>
        <v>0</v>
      </c>
      <c r="P585" s="48">
        <f t="shared" si="210"/>
        <v>0</v>
      </c>
      <c r="Q585" s="48">
        <f t="shared" si="211"/>
        <v>0</v>
      </c>
      <c r="R585" s="41">
        <f t="shared" si="212"/>
        <v>0</v>
      </c>
    </row>
    <row r="586" spans="2:19" x14ac:dyDescent="0.2">
      <c r="B586" s="62" t="str">
        <f>IF(F586&lt;&gt;"",1+MAX($B$21:B585),"")</f>
        <v/>
      </c>
      <c r="C586" s="68"/>
      <c r="D586" s="74" t="s">
        <v>140</v>
      </c>
      <c r="E586" s="14"/>
      <c r="F586" s="19"/>
      <c r="G586" s="48"/>
      <c r="H586" s="48">
        <f t="shared" si="205"/>
        <v>0</v>
      </c>
      <c r="I586" s="48">
        <f t="shared" si="206"/>
        <v>0</v>
      </c>
      <c r="J586" s="49"/>
      <c r="K586" s="50">
        <f t="shared" si="207"/>
        <v>0</v>
      </c>
      <c r="L586" s="50"/>
      <c r="M586" s="48"/>
      <c r="N586" s="48">
        <f t="shared" si="208"/>
        <v>0</v>
      </c>
      <c r="O586" s="48">
        <f t="shared" si="209"/>
        <v>0</v>
      </c>
      <c r="P586" s="48">
        <f t="shared" si="210"/>
        <v>0</v>
      </c>
      <c r="Q586" s="48">
        <f t="shared" si="211"/>
        <v>0</v>
      </c>
      <c r="R586" s="41">
        <f t="shared" si="212"/>
        <v>0</v>
      </c>
    </row>
    <row r="587" spans="2:19" x14ac:dyDescent="0.2">
      <c r="B587" s="61">
        <f>IF(F587&lt;&gt;"",1+MAX($B$21:B586),"")</f>
        <v>343</v>
      </c>
      <c r="C587" s="139" t="s">
        <v>240</v>
      </c>
      <c r="D587" s="73" t="s">
        <v>326</v>
      </c>
      <c r="E587" s="14" t="s">
        <v>79</v>
      </c>
      <c r="F587" s="19">
        <v>1</v>
      </c>
      <c r="G587" s="48">
        <v>15500</v>
      </c>
      <c r="H587" s="48">
        <f t="shared" si="205"/>
        <v>14756</v>
      </c>
      <c r="I587" s="48">
        <f t="shared" si="206"/>
        <v>14756</v>
      </c>
      <c r="J587" s="49">
        <v>9</v>
      </c>
      <c r="K587" s="50">
        <f t="shared" si="207"/>
        <v>9</v>
      </c>
      <c r="L587" s="28" t="s">
        <v>1075</v>
      </c>
      <c r="M587" s="29">
        <v>62.9</v>
      </c>
      <c r="N587" s="48">
        <f t="shared" si="208"/>
        <v>45.979900000000001</v>
      </c>
      <c r="O587" s="48">
        <f t="shared" si="209"/>
        <v>413.81909999999999</v>
      </c>
      <c r="P587" s="48">
        <f t="shared" si="210"/>
        <v>413.81909999999999</v>
      </c>
      <c r="Q587" s="48">
        <f t="shared" si="211"/>
        <v>15169.819100000001</v>
      </c>
      <c r="R587" s="41">
        <f t="shared" si="212"/>
        <v>21195.798255700003</v>
      </c>
    </row>
    <row r="588" spans="2:19" ht="13.5" thickBot="1" x14ac:dyDescent="0.25">
      <c r="B588" s="61" t="str">
        <f>IF(F588&lt;&gt;"",1+MAX($B$21:B587),"")</f>
        <v/>
      </c>
      <c r="C588" s="67"/>
      <c r="D588" s="73"/>
      <c r="E588" s="14"/>
      <c r="F588" s="19"/>
      <c r="G588" s="48"/>
      <c r="H588" s="48">
        <f t="shared" si="205"/>
        <v>0</v>
      </c>
      <c r="I588" s="48">
        <f t="shared" si="206"/>
        <v>0</v>
      </c>
      <c r="J588" s="49"/>
      <c r="K588" s="50">
        <f t="shared" si="207"/>
        <v>0</v>
      </c>
      <c r="L588" s="50"/>
      <c r="M588" s="48"/>
      <c r="N588" s="48">
        <f t="shared" si="208"/>
        <v>0</v>
      </c>
      <c r="O588" s="48">
        <f t="shared" si="209"/>
        <v>0</v>
      </c>
      <c r="P588" s="48">
        <f t="shared" si="210"/>
        <v>0</v>
      </c>
      <c r="Q588" s="48">
        <f t="shared" si="211"/>
        <v>0</v>
      </c>
      <c r="R588" s="41">
        <f t="shared" si="212"/>
        <v>0</v>
      </c>
      <c r="S588" s="9"/>
    </row>
    <row r="589" spans="2:19" s="9" customFormat="1" ht="26.25" thickBot="1" x14ac:dyDescent="0.25">
      <c r="B589" s="59" t="str">
        <f>IF(F589&lt;&gt;"",1+MAX($B$21:B588),"")</f>
        <v/>
      </c>
      <c r="C589" s="65" t="s">
        <v>50</v>
      </c>
      <c r="D589" s="72" t="s">
        <v>63</v>
      </c>
      <c r="E589" s="51"/>
      <c r="F589" s="51"/>
      <c r="G589" s="51"/>
      <c r="H589" s="52" t="s">
        <v>61</v>
      </c>
      <c r="I589" s="53">
        <f>SUM(I590:I659)</f>
        <v>28188.719999999998</v>
      </c>
      <c r="J589" s="54"/>
      <c r="K589" s="55" t="str">
        <f>ROUND(SUM(K590:K659),0) &amp; " " &amp; "HRS"</f>
        <v>205 HRS</v>
      </c>
      <c r="L589" s="56"/>
      <c r="M589" s="56"/>
      <c r="N589" s="56"/>
      <c r="O589" s="52" t="s">
        <v>62</v>
      </c>
      <c r="P589" s="53">
        <f>SUM(P590:P659)</f>
        <v>7640.9784350869995</v>
      </c>
      <c r="Q589" s="57">
        <f>SUM(Q590:Q659)</f>
        <v>35829.69843508699</v>
      </c>
      <c r="R589" s="58">
        <f>(Q589)+(I589*$Q$7)+(P589*$Q$8)+(Q589*$Q$9)+($Q$10*((Q589)+(I589*$Q$7)+(P589*$Q$8)+(Q589*$Q$9)))+(Q589*$Q$11)</f>
        <v>50266.404834869136</v>
      </c>
    </row>
    <row r="590" spans="2:19" x14ac:dyDescent="0.2">
      <c r="B590" s="61" t="str">
        <f>IF(F590&lt;&gt;"",1+MAX($B$21:B589),"")</f>
        <v/>
      </c>
      <c r="C590" s="67"/>
      <c r="D590" s="73"/>
      <c r="E590" s="14"/>
      <c r="F590" s="19"/>
      <c r="G590" s="48"/>
      <c r="H590" s="48">
        <f t="shared" ref="H590:H653" si="214">G590*$T$2</f>
        <v>0</v>
      </c>
      <c r="I590" s="48">
        <f t="shared" ref="I590:I619" si="215">F590*H590</f>
        <v>0</v>
      </c>
      <c r="J590" s="49"/>
      <c r="K590" s="50">
        <f t="shared" ref="K590:K619" si="216">F590*J590</f>
        <v>0</v>
      </c>
      <c r="L590" s="50"/>
      <c r="M590" s="48"/>
      <c r="N590" s="48">
        <f t="shared" ref="N590:N653" si="217">M590*$U$2</f>
        <v>0</v>
      </c>
      <c r="O590" s="48">
        <f t="shared" ref="O590:O619" si="218">J590*N590</f>
        <v>0</v>
      </c>
      <c r="P590" s="48">
        <f t="shared" ref="P590:P619" si="219">F590*O590</f>
        <v>0</v>
      </c>
      <c r="Q590" s="48">
        <f t="shared" ref="Q590:Q653" si="220">I590+P590</f>
        <v>0</v>
      </c>
      <c r="R590" s="41">
        <f t="shared" ref="R590:R653" si="221">Q590+(I590*$Q$7)+(P590*$Q$8)+(Q590*$Q$9)+(Q590*$Q$11)+($Q$10*(Q590+(I590*$Q$7)+(P590*$Q$8)+(Q590*$Q$9)))</f>
        <v>0</v>
      </c>
      <c r="S590" s="9"/>
    </row>
    <row r="591" spans="2:19" x14ac:dyDescent="0.2">
      <c r="B591" s="62" t="str">
        <f>IF(F591&lt;&gt;"",1+MAX($B$21:B590),"")</f>
        <v/>
      </c>
      <c r="C591" s="68"/>
      <c r="D591" s="74" t="s">
        <v>107</v>
      </c>
      <c r="E591" s="14"/>
      <c r="F591" s="19"/>
      <c r="G591" s="48"/>
      <c r="H591" s="48">
        <f t="shared" si="214"/>
        <v>0</v>
      </c>
      <c r="I591" s="48">
        <f t="shared" si="215"/>
        <v>0</v>
      </c>
      <c r="J591" s="49"/>
      <c r="K591" s="50">
        <f t="shared" si="216"/>
        <v>0</v>
      </c>
      <c r="L591" s="50"/>
      <c r="M591" s="48"/>
      <c r="N591" s="48">
        <f t="shared" si="217"/>
        <v>0</v>
      </c>
      <c r="O591" s="48">
        <f t="shared" si="218"/>
        <v>0</v>
      </c>
      <c r="P591" s="48">
        <f t="shared" si="219"/>
        <v>0</v>
      </c>
      <c r="Q591" s="48">
        <f t="shared" si="220"/>
        <v>0</v>
      </c>
      <c r="R591" s="41">
        <f t="shared" si="221"/>
        <v>0</v>
      </c>
    </row>
    <row r="592" spans="2:19" ht="51" x14ac:dyDescent="0.2">
      <c r="B592" s="61">
        <f>IF(F592&lt;&gt;"",1+MAX($B$21:B591),"")</f>
        <v>344</v>
      </c>
      <c r="C592" s="67" t="s">
        <v>146</v>
      </c>
      <c r="D592" s="73" t="s">
        <v>355</v>
      </c>
      <c r="E592" s="14" t="s">
        <v>72</v>
      </c>
      <c r="F592" s="19">
        <v>111.14</v>
      </c>
      <c r="G592" s="205"/>
      <c r="H592" s="205">
        <f t="shared" si="214"/>
        <v>0</v>
      </c>
      <c r="I592" s="205">
        <f t="shared" si="215"/>
        <v>0</v>
      </c>
      <c r="J592" s="49">
        <v>0.14699999999999999</v>
      </c>
      <c r="K592" s="50">
        <f t="shared" si="216"/>
        <v>16.337579999999999</v>
      </c>
      <c r="L592" s="50" t="s">
        <v>1052</v>
      </c>
      <c r="M592" s="48">
        <v>53.15</v>
      </c>
      <c r="N592" s="48">
        <f t="shared" si="217"/>
        <v>38.852649999999997</v>
      </c>
      <c r="O592" s="48">
        <f t="shared" si="218"/>
        <v>5.711339549999999</v>
      </c>
      <c r="P592" s="48">
        <f t="shared" si="219"/>
        <v>634.75827758699995</v>
      </c>
      <c r="Q592" s="48">
        <f t="shared" si="220"/>
        <v>634.75827758699995</v>
      </c>
      <c r="R592" s="41">
        <f t="shared" si="221"/>
        <v>905.80006211664897</v>
      </c>
    </row>
    <row r="593" spans="2:18" ht="25.5" x14ac:dyDescent="0.2">
      <c r="B593" s="61" t="str">
        <f>IF(F593&lt;&gt;"",1+MAX($B$21:B592),"")</f>
        <v/>
      </c>
      <c r="C593" s="67"/>
      <c r="D593" s="76" t="s">
        <v>1038</v>
      </c>
      <c r="E593" s="14"/>
      <c r="F593" s="19"/>
      <c r="G593" s="48"/>
      <c r="H593" s="48">
        <f t="shared" si="214"/>
        <v>0</v>
      </c>
      <c r="I593" s="48">
        <f t="shared" si="215"/>
        <v>0</v>
      </c>
      <c r="J593" s="49"/>
      <c r="K593" s="50">
        <f t="shared" si="216"/>
        <v>0</v>
      </c>
      <c r="L593" s="50"/>
      <c r="M593" s="48"/>
      <c r="N593" s="48">
        <f t="shared" si="217"/>
        <v>0</v>
      </c>
      <c r="O593" s="48">
        <f t="shared" si="218"/>
        <v>0</v>
      </c>
      <c r="P593" s="48">
        <f t="shared" si="219"/>
        <v>0</v>
      </c>
      <c r="Q593" s="48">
        <f t="shared" si="220"/>
        <v>0</v>
      </c>
      <c r="R593" s="41">
        <f t="shared" si="221"/>
        <v>0</v>
      </c>
    </row>
    <row r="594" spans="2:18" x14ac:dyDescent="0.2">
      <c r="B594" s="61" t="str">
        <f>IF(F594&lt;&gt;"",1+MAX($B$21:B593),"")</f>
        <v/>
      </c>
      <c r="C594" s="67"/>
      <c r="D594" s="73"/>
      <c r="E594" s="14"/>
      <c r="F594" s="19"/>
      <c r="G594" s="48"/>
      <c r="H594" s="48">
        <f t="shared" si="214"/>
        <v>0</v>
      </c>
      <c r="I594" s="48">
        <f t="shared" si="215"/>
        <v>0</v>
      </c>
      <c r="J594" s="49"/>
      <c r="K594" s="50">
        <f t="shared" si="216"/>
        <v>0</v>
      </c>
      <c r="L594" s="50"/>
      <c r="M594" s="48"/>
      <c r="N594" s="48">
        <f t="shared" si="217"/>
        <v>0</v>
      </c>
      <c r="O594" s="48">
        <f t="shared" si="218"/>
        <v>0</v>
      </c>
      <c r="P594" s="48">
        <f t="shared" si="219"/>
        <v>0</v>
      </c>
      <c r="Q594" s="48">
        <f t="shared" si="220"/>
        <v>0</v>
      </c>
      <c r="R594" s="41">
        <f t="shared" si="221"/>
        <v>0</v>
      </c>
    </row>
    <row r="595" spans="2:18" x14ac:dyDescent="0.2">
      <c r="B595" s="62" t="str">
        <f>IF(F595&lt;&gt;"",1+MAX($B$21:B594),"")</f>
        <v/>
      </c>
      <c r="C595" s="68"/>
      <c r="D595" s="74" t="s">
        <v>333</v>
      </c>
      <c r="E595" s="14"/>
      <c r="F595" s="19"/>
      <c r="G595" s="48"/>
      <c r="H595" s="48">
        <f t="shared" si="214"/>
        <v>0</v>
      </c>
      <c r="I595" s="48">
        <f t="shared" si="215"/>
        <v>0</v>
      </c>
      <c r="J595" s="49"/>
      <c r="K595" s="50">
        <f t="shared" si="216"/>
        <v>0</v>
      </c>
      <c r="L595" s="50"/>
      <c r="M595" s="48"/>
      <c r="N595" s="48">
        <f t="shared" si="217"/>
        <v>0</v>
      </c>
      <c r="O595" s="48">
        <f t="shared" si="218"/>
        <v>0</v>
      </c>
      <c r="P595" s="48">
        <f t="shared" si="219"/>
        <v>0</v>
      </c>
      <c r="Q595" s="48">
        <f t="shared" si="220"/>
        <v>0</v>
      </c>
      <c r="R595" s="41">
        <f t="shared" si="221"/>
        <v>0</v>
      </c>
    </row>
    <row r="596" spans="2:18" ht="38.25" x14ac:dyDescent="0.2">
      <c r="B596" s="61">
        <f>IF(F596&lt;&gt;"",1+MAX($B$21:B595),"")</f>
        <v>345</v>
      </c>
      <c r="C596" s="67" t="s">
        <v>373</v>
      </c>
      <c r="D596" s="73" t="s">
        <v>372</v>
      </c>
      <c r="E596" s="14" t="s">
        <v>72</v>
      </c>
      <c r="F596" s="19">
        <f>6*10+6*10+6*11+(27.36+27.36+13.15+7.24+8.09)*12</f>
        <v>1184.4000000000001</v>
      </c>
      <c r="G596" s="48">
        <v>25</v>
      </c>
      <c r="H596" s="48">
        <f t="shared" si="214"/>
        <v>23.799999999999997</v>
      </c>
      <c r="I596" s="48">
        <f t="shared" si="215"/>
        <v>28188.719999999998</v>
      </c>
      <c r="J596" s="49">
        <v>0.125</v>
      </c>
      <c r="K596" s="50">
        <f t="shared" si="216"/>
        <v>148.05000000000001</v>
      </c>
      <c r="L596" s="50" t="s">
        <v>1048</v>
      </c>
      <c r="M596" s="48">
        <v>53.15</v>
      </c>
      <c r="N596" s="48">
        <f t="shared" si="217"/>
        <v>38.852649999999997</v>
      </c>
      <c r="O596" s="48">
        <f t="shared" si="218"/>
        <v>4.8565812499999996</v>
      </c>
      <c r="P596" s="48">
        <f t="shared" si="219"/>
        <v>5752.1348324999999</v>
      </c>
      <c r="Q596" s="48">
        <f t="shared" si="220"/>
        <v>33940.854832500001</v>
      </c>
      <c r="R596" s="41">
        <f t="shared" si="221"/>
        <v>47571.025013977494</v>
      </c>
    </row>
    <row r="597" spans="2:18" x14ac:dyDescent="0.2">
      <c r="B597" s="61" t="str">
        <f>IF(F597&lt;&gt;"",1+MAX($B$21:B596),"")</f>
        <v/>
      </c>
      <c r="C597" s="67"/>
      <c r="D597" s="73"/>
      <c r="E597" s="14"/>
      <c r="F597" s="19"/>
      <c r="G597" s="48"/>
      <c r="H597" s="48">
        <f t="shared" si="214"/>
        <v>0</v>
      </c>
      <c r="I597" s="48">
        <f t="shared" si="215"/>
        <v>0</v>
      </c>
      <c r="J597" s="49"/>
      <c r="K597" s="50">
        <f t="shared" si="216"/>
        <v>0</v>
      </c>
      <c r="L597" s="50"/>
      <c r="M597" s="48"/>
      <c r="N597" s="48">
        <f t="shared" si="217"/>
        <v>0</v>
      </c>
      <c r="O597" s="48">
        <f t="shared" si="218"/>
        <v>0</v>
      </c>
      <c r="P597" s="48">
        <f t="shared" si="219"/>
        <v>0</v>
      </c>
      <c r="Q597" s="48">
        <f t="shared" si="220"/>
        <v>0</v>
      </c>
      <c r="R597" s="41">
        <f t="shared" si="221"/>
        <v>0</v>
      </c>
    </row>
    <row r="598" spans="2:18" x14ac:dyDescent="0.2">
      <c r="B598" s="62" t="str">
        <f>IF(F598&lt;&gt;"",1+MAX($B$21:B597),"")</f>
        <v/>
      </c>
      <c r="C598" s="68"/>
      <c r="D598" s="74" t="s">
        <v>450</v>
      </c>
      <c r="E598" s="14"/>
      <c r="F598" s="19"/>
      <c r="G598" s="48"/>
      <c r="H598" s="48">
        <f t="shared" si="214"/>
        <v>0</v>
      </c>
      <c r="I598" s="48">
        <f t="shared" si="215"/>
        <v>0</v>
      </c>
      <c r="J598" s="49"/>
      <c r="K598" s="50">
        <f t="shared" si="216"/>
        <v>0</v>
      </c>
      <c r="L598" s="50"/>
      <c r="M598" s="48"/>
      <c r="N598" s="48">
        <f t="shared" si="217"/>
        <v>0</v>
      </c>
      <c r="O598" s="48">
        <f t="shared" si="218"/>
        <v>0</v>
      </c>
      <c r="P598" s="48">
        <f t="shared" si="219"/>
        <v>0</v>
      </c>
      <c r="Q598" s="48">
        <f t="shared" si="220"/>
        <v>0</v>
      </c>
      <c r="R598" s="41">
        <f t="shared" si="221"/>
        <v>0</v>
      </c>
    </row>
    <row r="599" spans="2:18" x14ac:dyDescent="0.2">
      <c r="B599" s="61" t="str">
        <f>IF(F599&lt;&gt;"",1+MAX($B$21:B598),"")</f>
        <v/>
      </c>
      <c r="C599" s="67"/>
      <c r="D599" s="73"/>
      <c r="E599" s="14"/>
      <c r="F599" s="19"/>
      <c r="G599" s="48"/>
      <c r="H599" s="48">
        <f t="shared" si="214"/>
        <v>0</v>
      </c>
      <c r="I599" s="48">
        <f t="shared" si="215"/>
        <v>0</v>
      </c>
      <c r="J599" s="49"/>
      <c r="K599" s="50">
        <f t="shared" si="216"/>
        <v>0</v>
      </c>
      <c r="L599" s="50"/>
      <c r="M599" s="48"/>
      <c r="N599" s="48">
        <f t="shared" si="217"/>
        <v>0</v>
      </c>
      <c r="O599" s="48">
        <f t="shared" si="218"/>
        <v>0</v>
      </c>
      <c r="P599" s="48">
        <f t="shared" si="219"/>
        <v>0</v>
      </c>
      <c r="Q599" s="48">
        <f t="shared" si="220"/>
        <v>0</v>
      </c>
      <c r="R599" s="41">
        <f t="shared" si="221"/>
        <v>0</v>
      </c>
    </row>
    <row r="600" spans="2:18" ht="38.25" x14ac:dyDescent="0.2">
      <c r="B600" s="61" t="str">
        <f>IF(F600&lt;&gt;"",1+MAX($B$21:B599),"")</f>
        <v/>
      </c>
      <c r="C600" s="198" t="s">
        <v>512</v>
      </c>
      <c r="D600" s="76" t="s">
        <v>1039</v>
      </c>
      <c r="E600" s="14"/>
      <c r="F600" s="19"/>
      <c r="G600" s="48"/>
      <c r="H600" s="48">
        <f t="shared" si="214"/>
        <v>0</v>
      </c>
      <c r="I600" s="48">
        <f t="shared" si="215"/>
        <v>0</v>
      </c>
      <c r="J600" s="49"/>
      <c r="K600" s="50">
        <f t="shared" si="216"/>
        <v>0</v>
      </c>
      <c r="L600" s="50"/>
      <c r="M600" s="48"/>
      <c r="N600" s="48">
        <f t="shared" si="217"/>
        <v>0</v>
      </c>
      <c r="O600" s="48">
        <f t="shared" si="218"/>
        <v>0</v>
      </c>
      <c r="P600" s="48">
        <f t="shared" si="219"/>
        <v>0</v>
      </c>
      <c r="Q600" s="48">
        <f t="shared" si="220"/>
        <v>0</v>
      </c>
      <c r="R600" s="41">
        <f t="shared" si="221"/>
        <v>0</v>
      </c>
    </row>
    <row r="601" spans="2:18" ht="25.5" x14ac:dyDescent="0.2">
      <c r="B601" s="61">
        <f>IF(F601&lt;&gt;"",1+MAX($B$21:B600),"")</f>
        <v>346</v>
      </c>
      <c r="C601" s="196"/>
      <c r="D601" s="73" t="s">
        <v>553</v>
      </c>
      <c r="E601" s="14" t="s">
        <v>79</v>
      </c>
      <c r="F601" s="19">
        <v>2</v>
      </c>
      <c r="G601" s="205"/>
      <c r="H601" s="205">
        <f t="shared" si="214"/>
        <v>0</v>
      </c>
      <c r="I601" s="205">
        <f t="shared" si="215"/>
        <v>0</v>
      </c>
      <c r="J601" s="49">
        <v>0.25</v>
      </c>
      <c r="K601" s="50">
        <f t="shared" si="216"/>
        <v>0.5</v>
      </c>
      <c r="L601" s="50" t="s">
        <v>1045</v>
      </c>
      <c r="M601" s="48">
        <v>42.1</v>
      </c>
      <c r="N601" s="48">
        <f t="shared" si="217"/>
        <v>30.775100000000002</v>
      </c>
      <c r="O601" s="48">
        <f t="shared" si="218"/>
        <v>7.6937750000000005</v>
      </c>
      <c r="P601" s="48">
        <f t="shared" si="219"/>
        <v>15.387550000000001</v>
      </c>
      <c r="Q601" s="48">
        <f t="shared" si="220"/>
        <v>15.387550000000001</v>
      </c>
      <c r="R601" s="41">
        <f t="shared" si="221"/>
        <v>21.95803385</v>
      </c>
    </row>
    <row r="602" spans="2:18" ht="25.5" x14ac:dyDescent="0.2">
      <c r="B602" s="61">
        <f>IF(F602&lt;&gt;"",1+MAX($B$21:B601),"")</f>
        <v>347</v>
      </c>
      <c r="C602" s="196"/>
      <c r="D602" s="73" t="s">
        <v>554</v>
      </c>
      <c r="E602" s="14" t="s">
        <v>79</v>
      </c>
      <c r="F602" s="19">
        <v>2</v>
      </c>
      <c r="G602" s="205"/>
      <c r="H602" s="205">
        <f t="shared" si="214"/>
        <v>0</v>
      </c>
      <c r="I602" s="205">
        <f t="shared" si="215"/>
        <v>0</v>
      </c>
      <c r="J602" s="49">
        <v>0.4</v>
      </c>
      <c r="K602" s="50">
        <f t="shared" si="216"/>
        <v>0.8</v>
      </c>
      <c r="L602" s="50" t="s">
        <v>1045</v>
      </c>
      <c r="M602" s="48">
        <v>42.1</v>
      </c>
      <c r="N602" s="48">
        <f t="shared" si="217"/>
        <v>30.775100000000002</v>
      </c>
      <c r="O602" s="48">
        <f t="shared" si="218"/>
        <v>12.310040000000001</v>
      </c>
      <c r="P602" s="48">
        <f t="shared" si="219"/>
        <v>24.620080000000002</v>
      </c>
      <c r="Q602" s="48">
        <f t="shared" si="220"/>
        <v>24.620080000000002</v>
      </c>
      <c r="R602" s="41">
        <f t="shared" si="221"/>
        <v>35.132854160000008</v>
      </c>
    </row>
    <row r="603" spans="2:18" ht="25.5" x14ac:dyDescent="0.2">
      <c r="B603" s="61">
        <f>IF(F603&lt;&gt;"",1+MAX($B$21:B602),"")</f>
        <v>348</v>
      </c>
      <c r="C603" s="196"/>
      <c r="D603" s="73" t="s">
        <v>555</v>
      </c>
      <c r="E603" s="14" t="s">
        <v>79</v>
      </c>
      <c r="F603" s="19">
        <v>2</v>
      </c>
      <c r="G603" s="205"/>
      <c r="H603" s="205">
        <f t="shared" si="214"/>
        <v>0</v>
      </c>
      <c r="I603" s="205">
        <f t="shared" si="215"/>
        <v>0</v>
      </c>
      <c r="J603" s="49">
        <v>0.2</v>
      </c>
      <c r="K603" s="50">
        <f t="shared" si="216"/>
        <v>0.4</v>
      </c>
      <c r="L603" s="50" t="s">
        <v>1045</v>
      </c>
      <c r="M603" s="48">
        <v>42.1</v>
      </c>
      <c r="N603" s="48">
        <f t="shared" si="217"/>
        <v>30.775100000000002</v>
      </c>
      <c r="O603" s="48">
        <f t="shared" si="218"/>
        <v>6.1550200000000004</v>
      </c>
      <c r="P603" s="48">
        <f t="shared" si="219"/>
        <v>12.310040000000001</v>
      </c>
      <c r="Q603" s="48">
        <f t="shared" si="220"/>
        <v>12.310040000000001</v>
      </c>
      <c r="R603" s="41">
        <f t="shared" si="221"/>
        <v>17.566427080000004</v>
      </c>
    </row>
    <row r="604" spans="2:18" ht="25.5" x14ac:dyDescent="0.2">
      <c r="B604" s="61">
        <f>IF(F604&lt;&gt;"",1+MAX($B$21:B603),"")</f>
        <v>349</v>
      </c>
      <c r="C604" s="196"/>
      <c r="D604" s="73" t="s">
        <v>556</v>
      </c>
      <c r="E604" s="14" t="s">
        <v>79</v>
      </c>
      <c r="F604" s="19">
        <v>3</v>
      </c>
      <c r="G604" s="205"/>
      <c r="H604" s="205">
        <f t="shared" si="214"/>
        <v>0</v>
      </c>
      <c r="I604" s="205">
        <f t="shared" si="215"/>
        <v>0</v>
      </c>
      <c r="J604" s="49">
        <v>0.35</v>
      </c>
      <c r="K604" s="50">
        <f t="shared" si="216"/>
        <v>1.0499999999999998</v>
      </c>
      <c r="L604" s="50" t="s">
        <v>1045</v>
      </c>
      <c r="M604" s="48">
        <v>42.1</v>
      </c>
      <c r="N604" s="48">
        <f t="shared" si="217"/>
        <v>30.775100000000002</v>
      </c>
      <c r="O604" s="48">
        <f t="shared" si="218"/>
        <v>10.771285000000001</v>
      </c>
      <c r="P604" s="48">
        <f t="shared" si="219"/>
        <v>32.313855000000004</v>
      </c>
      <c r="Q604" s="48">
        <f t="shared" si="220"/>
        <v>32.313855000000004</v>
      </c>
      <c r="R604" s="41">
        <f t="shared" si="221"/>
        <v>46.111871085000004</v>
      </c>
    </row>
    <row r="605" spans="2:18" x14ac:dyDescent="0.2">
      <c r="B605" s="61">
        <f>IF(F605&lt;&gt;"",1+MAX($B$21:B604),"")</f>
        <v>350</v>
      </c>
      <c r="C605" s="196"/>
      <c r="D605" s="73" t="s">
        <v>513</v>
      </c>
      <c r="E605" s="14" t="s">
        <v>79</v>
      </c>
      <c r="F605" s="19">
        <v>2</v>
      </c>
      <c r="G605" s="205"/>
      <c r="H605" s="205">
        <f t="shared" si="214"/>
        <v>0</v>
      </c>
      <c r="I605" s="205">
        <f t="shared" si="215"/>
        <v>0</v>
      </c>
      <c r="J605" s="49">
        <v>0.25</v>
      </c>
      <c r="K605" s="50">
        <f t="shared" si="216"/>
        <v>0.5</v>
      </c>
      <c r="L605" s="50" t="s">
        <v>1045</v>
      </c>
      <c r="M605" s="48">
        <v>42.1</v>
      </c>
      <c r="N605" s="48">
        <f t="shared" si="217"/>
        <v>30.775100000000002</v>
      </c>
      <c r="O605" s="48">
        <f t="shared" si="218"/>
        <v>7.6937750000000005</v>
      </c>
      <c r="P605" s="48">
        <f t="shared" si="219"/>
        <v>15.387550000000001</v>
      </c>
      <c r="Q605" s="48">
        <f t="shared" si="220"/>
        <v>15.387550000000001</v>
      </c>
      <c r="R605" s="41">
        <f t="shared" si="221"/>
        <v>21.95803385</v>
      </c>
    </row>
    <row r="606" spans="2:18" ht="25.5" x14ac:dyDescent="0.2">
      <c r="B606" s="61">
        <f>IF(F606&lt;&gt;"",1+MAX($B$21:B605),"")</f>
        <v>351</v>
      </c>
      <c r="C606" s="196"/>
      <c r="D606" s="73" t="s">
        <v>557</v>
      </c>
      <c r="E606" s="14" t="s">
        <v>79</v>
      </c>
      <c r="F606" s="19">
        <v>1</v>
      </c>
      <c r="G606" s="205"/>
      <c r="H606" s="205">
        <f t="shared" si="214"/>
        <v>0</v>
      </c>
      <c r="I606" s="205">
        <f t="shared" si="215"/>
        <v>0</v>
      </c>
      <c r="J606" s="49">
        <v>0.25</v>
      </c>
      <c r="K606" s="50">
        <f t="shared" si="216"/>
        <v>0.25</v>
      </c>
      <c r="L606" s="50" t="s">
        <v>1045</v>
      </c>
      <c r="M606" s="48">
        <v>42.1</v>
      </c>
      <c r="N606" s="48">
        <f t="shared" si="217"/>
        <v>30.775100000000002</v>
      </c>
      <c r="O606" s="48">
        <f t="shared" si="218"/>
        <v>7.6937750000000005</v>
      </c>
      <c r="P606" s="48">
        <f t="shared" si="219"/>
        <v>7.6937750000000005</v>
      </c>
      <c r="Q606" s="48">
        <f t="shared" si="220"/>
        <v>7.6937750000000005</v>
      </c>
      <c r="R606" s="41">
        <f t="shared" si="221"/>
        <v>10.979016925</v>
      </c>
    </row>
    <row r="607" spans="2:18" ht="25.5" x14ac:dyDescent="0.2">
      <c r="B607" s="61">
        <f>IF(F607&lt;&gt;"",1+MAX($B$21:B606),"")</f>
        <v>352</v>
      </c>
      <c r="C607" s="196"/>
      <c r="D607" s="73" t="s">
        <v>558</v>
      </c>
      <c r="E607" s="14" t="s">
        <v>79</v>
      </c>
      <c r="F607" s="19">
        <v>1</v>
      </c>
      <c r="G607" s="205"/>
      <c r="H607" s="205">
        <f t="shared" si="214"/>
        <v>0</v>
      </c>
      <c r="I607" s="205">
        <f t="shared" si="215"/>
        <v>0</v>
      </c>
      <c r="J607" s="49">
        <v>0.3</v>
      </c>
      <c r="K607" s="50">
        <f t="shared" si="216"/>
        <v>0.3</v>
      </c>
      <c r="L607" s="50" t="s">
        <v>1045</v>
      </c>
      <c r="M607" s="48">
        <v>42.1</v>
      </c>
      <c r="N607" s="48">
        <f t="shared" si="217"/>
        <v>30.775100000000002</v>
      </c>
      <c r="O607" s="48">
        <f t="shared" si="218"/>
        <v>9.2325300000000006</v>
      </c>
      <c r="P607" s="48">
        <f t="shared" si="219"/>
        <v>9.2325300000000006</v>
      </c>
      <c r="Q607" s="48">
        <f t="shared" si="220"/>
        <v>9.2325300000000006</v>
      </c>
      <c r="R607" s="41">
        <f t="shared" si="221"/>
        <v>13.174820310000001</v>
      </c>
    </row>
    <row r="608" spans="2:18" ht="25.5" x14ac:dyDescent="0.2">
      <c r="B608" s="61">
        <f>IF(F608&lt;&gt;"",1+MAX($B$21:B607),"")</f>
        <v>353</v>
      </c>
      <c r="C608" s="196"/>
      <c r="D608" s="73" t="s">
        <v>559</v>
      </c>
      <c r="E608" s="14" t="s">
        <v>79</v>
      </c>
      <c r="F608" s="19">
        <v>2</v>
      </c>
      <c r="G608" s="205"/>
      <c r="H608" s="205">
        <f t="shared" si="214"/>
        <v>0</v>
      </c>
      <c r="I608" s="205">
        <f t="shared" si="215"/>
        <v>0</v>
      </c>
      <c r="J608" s="49">
        <v>0.3</v>
      </c>
      <c r="K608" s="50">
        <f t="shared" si="216"/>
        <v>0.6</v>
      </c>
      <c r="L608" s="50" t="s">
        <v>1045</v>
      </c>
      <c r="M608" s="48">
        <v>42.1</v>
      </c>
      <c r="N608" s="48">
        <f t="shared" si="217"/>
        <v>30.775100000000002</v>
      </c>
      <c r="O608" s="48">
        <f t="shared" si="218"/>
        <v>9.2325300000000006</v>
      </c>
      <c r="P608" s="48">
        <f t="shared" si="219"/>
        <v>18.465060000000001</v>
      </c>
      <c r="Q608" s="48">
        <f t="shared" si="220"/>
        <v>18.465060000000001</v>
      </c>
      <c r="R608" s="41">
        <f t="shared" si="221"/>
        <v>26.349640620000002</v>
      </c>
    </row>
    <row r="609" spans="2:18" ht="25.5" x14ac:dyDescent="0.2">
      <c r="B609" s="61">
        <f>IF(F609&lt;&gt;"",1+MAX($B$21:B608),"")</f>
        <v>354</v>
      </c>
      <c r="C609" s="196"/>
      <c r="D609" s="73" t="s">
        <v>560</v>
      </c>
      <c r="E609" s="14" t="s">
        <v>79</v>
      </c>
      <c r="F609" s="19">
        <v>4</v>
      </c>
      <c r="G609" s="205"/>
      <c r="H609" s="205">
        <f t="shared" si="214"/>
        <v>0</v>
      </c>
      <c r="I609" s="205">
        <f t="shared" si="215"/>
        <v>0</v>
      </c>
      <c r="J609" s="49">
        <v>0.2</v>
      </c>
      <c r="K609" s="50">
        <f t="shared" si="216"/>
        <v>0.8</v>
      </c>
      <c r="L609" s="50" t="s">
        <v>1045</v>
      </c>
      <c r="M609" s="48">
        <v>42.1</v>
      </c>
      <c r="N609" s="48">
        <f t="shared" si="217"/>
        <v>30.775100000000002</v>
      </c>
      <c r="O609" s="48">
        <f t="shared" si="218"/>
        <v>6.1550200000000004</v>
      </c>
      <c r="P609" s="48">
        <f t="shared" si="219"/>
        <v>24.620080000000002</v>
      </c>
      <c r="Q609" s="48">
        <f t="shared" si="220"/>
        <v>24.620080000000002</v>
      </c>
      <c r="R609" s="41">
        <f t="shared" si="221"/>
        <v>35.132854160000008</v>
      </c>
    </row>
    <row r="610" spans="2:18" ht="25.5" x14ac:dyDescent="0.2">
      <c r="B610" s="61">
        <f>IF(F610&lt;&gt;"",1+MAX($B$21:B609),"")</f>
        <v>355</v>
      </c>
      <c r="C610" s="196"/>
      <c r="D610" s="73" t="s">
        <v>561</v>
      </c>
      <c r="E610" s="14" t="s">
        <v>79</v>
      </c>
      <c r="F610" s="19">
        <v>2</v>
      </c>
      <c r="G610" s="205"/>
      <c r="H610" s="205">
        <f t="shared" si="214"/>
        <v>0</v>
      </c>
      <c r="I610" s="205">
        <f t="shared" si="215"/>
        <v>0</v>
      </c>
      <c r="J610" s="49">
        <v>0.5</v>
      </c>
      <c r="K610" s="50">
        <f t="shared" si="216"/>
        <v>1</v>
      </c>
      <c r="L610" s="50" t="s">
        <v>1045</v>
      </c>
      <c r="M610" s="48">
        <v>42.1</v>
      </c>
      <c r="N610" s="48">
        <f t="shared" si="217"/>
        <v>30.775100000000002</v>
      </c>
      <c r="O610" s="48">
        <f t="shared" si="218"/>
        <v>15.387550000000001</v>
      </c>
      <c r="P610" s="48">
        <f t="shared" si="219"/>
        <v>30.775100000000002</v>
      </c>
      <c r="Q610" s="48">
        <f t="shared" si="220"/>
        <v>30.775100000000002</v>
      </c>
      <c r="R610" s="41">
        <f t="shared" si="221"/>
        <v>43.916067699999999</v>
      </c>
    </row>
    <row r="611" spans="2:18" ht="25.5" x14ac:dyDescent="0.2">
      <c r="B611" s="61">
        <f>IF(F611&lt;&gt;"",1+MAX($B$21:B610),"")</f>
        <v>356</v>
      </c>
      <c r="C611" s="196"/>
      <c r="D611" s="73" t="s">
        <v>562</v>
      </c>
      <c r="E611" s="14" t="s">
        <v>79</v>
      </c>
      <c r="F611" s="19">
        <v>2</v>
      </c>
      <c r="G611" s="205"/>
      <c r="H611" s="205">
        <f t="shared" si="214"/>
        <v>0</v>
      </c>
      <c r="I611" s="205">
        <f t="shared" si="215"/>
        <v>0</v>
      </c>
      <c r="J611" s="49">
        <v>0.5</v>
      </c>
      <c r="K611" s="50">
        <f t="shared" si="216"/>
        <v>1</v>
      </c>
      <c r="L611" s="50" t="s">
        <v>1045</v>
      </c>
      <c r="M611" s="48">
        <v>42.1</v>
      </c>
      <c r="N611" s="48">
        <f t="shared" si="217"/>
        <v>30.775100000000002</v>
      </c>
      <c r="O611" s="48">
        <f t="shared" si="218"/>
        <v>15.387550000000001</v>
      </c>
      <c r="P611" s="48">
        <f t="shared" si="219"/>
        <v>30.775100000000002</v>
      </c>
      <c r="Q611" s="48">
        <f t="shared" si="220"/>
        <v>30.775100000000002</v>
      </c>
      <c r="R611" s="41">
        <f t="shared" si="221"/>
        <v>43.916067699999999</v>
      </c>
    </row>
    <row r="612" spans="2:18" ht="25.5" x14ac:dyDescent="0.2">
      <c r="B612" s="61">
        <f>IF(F612&lt;&gt;"",1+MAX($B$21:B611),"")</f>
        <v>357</v>
      </c>
      <c r="C612" s="196"/>
      <c r="D612" s="73" t="s">
        <v>563</v>
      </c>
      <c r="E612" s="14" t="s">
        <v>79</v>
      </c>
      <c r="F612" s="19">
        <v>1</v>
      </c>
      <c r="G612" s="205"/>
      <c r="H612" s="205">
        <f t="shared" si="214"/>
        <v>0</v>
      </c>
      <c r="I612" s="205">
        <f t="shared" si="215"/>
        <v>0</v>
      </c>
      <c r="J612" s="49">
        <v>0.6</v>
      </c>
      <c r="K612" s="50">
        <f t="shared" si="216"/>
        <v>0.6</v>
      </c>
      <c r="L612" s="50" t="s">
        <v>1045</v>
      </c>
      <c r="M612" s="48">
        <v>42.1</v>
      </c>
      <c r="N612" s="48">
        <f t="shared" si="217"/>
        <v>30.775100000000002</v>
      </c>
      <c r="O612" s="48">
        <f t="shared" si="218"/>
        <v>18.465060000000001</v>
      </c>
      <c r="P612" s="48">
        <f t="shared" si="219"/>
        <v>18.465060000000001</v>
      </c>
      <c r="Q612" s="48">
        <f t="shared" si="220"/>
        <v>18.465060000000001</v>
      </c>
      <c r="R612" s="41">
        <f t="shared" si="221"/>
        <v>26.349640620000002</v>
      </c>
    </row>
    <row r="613" spans="2:18" ht="25.5" x14ac:dyDescent="0.2">
      <c r="B613" s="61">
        <f>IF(F613&lt;&gt;"",1+MAX($B$21:B612),"")</f>
        <v>358</v>
      </c>
      <c r="C613" s="196"/>
      <c r="D613" s="73" t="s">
        <v>564</v>
      </c>
      <c r="E613" s="14" t="s">
        <v>79</v>
      </c>
      <c r="F613" s="19">
        <v>1</v>
      </c>
      <c r="G613" s="205"/>
      <c r="H613" s="205">
        <f t="shared" si="214"/>
        <v>0</v>
      </c>
      <c r="I613" s="205">
        <f t="shared" si="215"/>
        <v>0</v>
      </c>
      <c r="J613" s="49">
        <v>0.75</v>
      </c>
      <c r="K613" s="50">
        <f t="shared" si="216"/>
        <v>0.75</v>
      </c>
      <c r="L613" s="50" t="s">
        <v>1045</v>
      </c>
      <c r="M613" s="48">
        <v>42.1</v>
      </c>
      <c r="N613" s="48">
        <f t="shared" si="217"/>
        <v>30.775100000000002</v>
      </c>
      <c r="O613" s="48">
        <f t="shared" si="218"/>
        <v>23.081325</v>
      </c>
      <c r="P613" s="48">
        <f t="shared" si="219"/>
        <v>23.081325</v>
      </c>
      <c r="Q613" s="48">
        <f t="shared" si="220"/>
        <v>23.081325</v>
      </c>
      <c r="R613" s="41">
        <f t="shared" si="221"/>
        <v>32.937050774999996</v>
      </c>
    </row>
    <row r="614" spans="2:18" ht="25.5" x14ac:dyDescent="0.2">
      <c r="B614" s="61">
        <f>IF(F614&lt;&gt;"",1+MAX($B$21:B613),"")</f>
        <v>359</v>
      </c>
      <c r="C614" s="196"/>
      <c r="D614" s="73" t="s">
        <v>565</v>
      </c>
      <c r="E614" s="14" t="s">
        <v>79</v>
      </c>
      <c r="F614" s="19">
        <v>1</v>
      </c>
      <c r="G614" s="205"/>
      <c r="H614" s="205">
        <f t="shared" si="214"/>
        <v>0</v>
      </c>
      <c r="I614" s="205">
        <f t="shared" si="215"/>
        <v>0</v>
      </c>
      <c r="J614" s="49">
        <v>0.3</v>
      </c>
      <c r="K614" s="50">
        <f t="shared" si="216"/>
        <v>0.3</v>
      </c>
      <c r="L614" s="50" t="s">
        <v>1045</v>
      </c>
      <c r="M614" s="48">
        <v>42.1</v>
      </c>
      <c r="N614" s="48">
        <f t="shared" si="217"/>
        <v>30.775100000000002</v>
      </c>
      <c r="O614" s="48">
        <f t="shared" si="218"/>
        <v>9.2325300000000006</v>
      </c>
      <c r="P614" s="48">
        <f t="shared" si="219"/>
        <v>9.2325300000000006</v>
      </c>
      <c r="Q614" s="48">
        <f t="shared" si="220"/>
        <v>9.2325300000000006</v>
      </c>
      <c r="R614" s="41">
        <f t="shared" si="221"/>
        <v>13.174820310000001</v>
      </c>
    </row>
    <row r="615" spans="2:18" ht="25.5" x14ac:dyDescent="0.2">
      <c r="B615" s="61">
        <f>IF(F615&lt;&gt;"",1+MAX($B$21:B614),"")</f>
        <v>360</v>
      </c>
      <c r="C615" s="196"/>
      <c r="D615" s="73" t="s">
        <v>566</v>
      </c>
      <c r="E615" s="14" t="s">
        <v>79</v>
      </c>
      <c r="F615" s="19">
        <v>1</v>
      </c>
      <c r="G615" s="205"/>
      <c r="H615" s="205">
        <f t="shared" si="214"/>
        <v>0</v>
      </c>
      <c r="I615" s="205">
        <f t="shared" si="215"/>
        <v>0</v>
      </c>
      <c r="J615" s="49">
        <v>0.75</v>
      </c>
      <c r="K615" s="50">
        <f t="shared" si="216"/>
        <v>0.75</v>
      </c>
      <c r="L615" s="50" t="s">
        <v>1045</v>
      </c>
      <c r="M615" s="48">
        <v>42.1</v>
      </c>
      <c r="N615" s="48">
        <f t="shared" si="217"/>
        <v>30.775100000000002</v>
      </c>
      <c r="O615" s="48">
        <f t="shared" si="218"/>
        <v>23.081325</v>
      </c>
      <c r="P615" s="48">
        <f t="shared" si="219"/>
        <v>23.081325</v>
      </c>
      <c r="Q615" s="48">
        <f t="shared" si="220"/>
        <v>23.081325</v>
      </c>
      <c r="R615" s="41">
        <f t="shared" si="221"/>
        <v>32.937050774999996</v>
      </c>
    </row>
    <row r="616" spans="2:18" ht="25.5" x14ac:dyDescent="0.2">
      <c r="B616" s="61">
        <f>IF(F616&lt;&gt;"",1+MAX($B$21:B615),"")</f>
        <v>361</v>
      </c>
      <c r="C616" s="196"/>
      <c r="D616" s="73" t="s">
        <v>567</v>
      </c>
      <c r="E616" s="14" t="s">
        <v>79</v>
      </c>
      <c r="F616" s="19">
        <v>2</v>
      </c>
      <c r="G616" s="205"/>
      <c r="H616" s="205">
        <f t="shared" si="214"/>
        <v>0</v>
      </c>
      <c r="I616" s="205">
        <f t="shared" si="215"/>
        <v>0</v>
      </c>
      <c r="J616" s="49">
        <v>0.3</v>
      </c>
      <c r="K616" s="50">
        <f t="shared" si="216"/>
        <v>0.6</v>
      </c>
      <c r="L616" s="50" t="s">
        <v>1045</v>
      </c>
      <c r="M616" s="48">
        <v>42.1</v>
      </c>
      <c r="N616" s="48">
        <f t="shared" si="217"/>
        <v>30.775100000000002</v>
      </c>
      <c r="O616" s="48">
        <f t="shared" si="218"/>
        <v>9.2325300000000006</v>
      </c>
      <c r="P616" s="48">
        <f t="shared" si="219"/>
        <v>18.465060000000001</v>
      </c>
      <c r="Q616" s="48">
        <f t="shared" si="220"/>
        <v>18.465060000000001</v>
      </c>
      <c r="R616" s="41">
        <f t="shared" si="221"/>
        <v>26.349640620000002</v>
      </c>
    </row>
    <row r="617" spans="2:18" ht="25.5" x14ac:dyDescent="0.2">
      <c r="B617" s="61">
        <f>IF(F617&lt;&gt;"",1+MAX($B$21:B616),"")</f>
        <v>362</v>
      </c>
      <c r="C617" s="196"/>
      <c r="D617" s="73" t="s">
        <v>568</v>
      </c>
      <c r="E617" s="14" t="s">
        <v>79</v>
      </c>
      <c r="F617" s="19">
        <v>1</v>
      </c>
      <c r="G617" s="205"/>
      <c r="H617" s="205">
        <f t="shared" si="214"/>
        <v>0</v>
      </c>
      <c r="I617" s="205">
        <f t="shared" si="215"/>
        <v>0</v>
      </c>
      <c r="J617" s="49">
        <v>0.5</v>
      </c>
      <c r="K617" s="50">
        <f t="shared" si="216"/>
        <v>0.5</v>
      </c>
      <c r="L617" s="50" t="s">
        <v>1045</v>
      </c>
      <c r="M617" s="48">
        <v>42.1</v>
      </c>
      <c r="N617" s="48">
        <f t="shared" si="217"/>
        <v>30.775100000000002</v>
      </c>
      <c r="O617" s="48">
        <f t="shared" si="218"/>
        <v>15.387550000000001</v>
      </c>
      <c r="P617" s="48">
        <f t="shared" si="219"/>
        <v>15.387550000000001</v>
      </c>
      <c r="Q617" s="48">
        <f t="shared" si="220"/>
        <v>15.387550000000001</v>
      </c>
      <c r="R617" s="41">
        <f t="shared" si="221"/>
        <v>21.95803385</v>
      </c>
    </row>
    <row r="618" spans="2:18" ht="25.5" x14ac:dyDescent="0.2">
      <c r="B618" s="61">
        <f>IF(F618&lt;&gt;"",1+MAX($B$21:B617),"")</f>
        <v>363</v>
      </c>
      <c r="C618" s="196"/>
      <c r="D618" s="73" t="s">
        <v>569</v>
      </c>
      <c r="E618" s="14" t="s">
        <v>79</v>
      </c>
      <c r="F618" s="19">
        <v>1</v>
      </c>
      <c r="G618" s="205"/>
      <c r="H618" s="205">
        <f t="shared" si="214"/>
        <v>0</v>
      </c>
      <c r="I618" s="205">
        <f t="shared" si="215"/>
        <v>0</v>
      </c>
      <c r="J618" s="49">
        <v>1</v>
      </c>
      <c r="K618" s="50">
        <f t="shared" si="216"/>
        <v>1</v>
      </c>
      <c r="L618" s="50" t="s">
        <v>1073</v>
      </c>
      <c r="M618" s="48">
        <v>42.1</v>
      </c>
      <c r="N618" s="48">
        <f t="shared" si="217"/>
        <v>30.775100000000002</v>
      </c>
      <c r="O618" s="48">
        <f t="shared" si="218"/>
        <v>30.775100000000002</v>
      </c>
      <c r="P618" s="48">
        <f t="shared" si="219"/>
        <v>30.775100000000002</v>
      </c>
      <c r="Q618" s="48">
        <f t="shared" si="220"/>
        <v>30.775100000000002</v>
      </c>
      <c r="R618" s="41">
        <f t="shared" si="221"/>
        <v>43.916067699999999</v>
      </c>
    </row>
    <row r="619" spans="2:18" ht="25.5" x14ac:dyDescent="0.2">
      <c r="B619" s="61" t="str">
        <f>IF(F619&lt;&gt;"",1+MAX($B$21:B618),"")</f>
        <v/>
      </c>
      <c r="C619" s="196"/>
      <c r="D619" s="76" t="s">
        <v>1040</v>
      </c>
      <c r="E619" s="14"/>
      <c r="F619" s="19"/>
      <c r="G619" s="48"/>
      <c r="H619" s="48">
        <f t="shared" si="214"/>
        <v>0</v>
      </c>
      <c r="I619" s="48">
        <f t="shared" si="215"/>
        <v>0</v>
      </c>
      <c r="J619" s="49"/>
      <c r="K619" s="50">
        <f t="shared" si="216"/>
        <v>0</v>
      </c>
      <c r="L619" s="50"/>
      <c r="M619" s="48"/>
      <c r="N619" s="48">
        <f t="shared" si="217"/>
        <v>0</v>
      </c>
      <c r="O619" s="48">
        <f t="shared" si="218"/>
        <v>0</v>
      </c>
      <c r="P619" s="48">
        <f t="shared" si="219"/>
        <v>0</v>
      </c>
      <c r="Q619" s="48">
        <f t="shared" si="220"/>
        <v>0</v>
      </c>
      <c r="R619" s="41">
        <f t="shared" si="221"/>
        <v>0</v>
      </c>
    </row>
    <row r="620" spans="2:18" ht="25.5" x14ac:dyDescent="0.2">
      <c r="B620" s="61">
        <f>IF(F620&lt;&gt;"",1+MAX($B$21:B619),"")</f>
        <v>364</v>
      </c>
      <c r="C620" s="196"/>
      <c r="D620" s="73" t="s">
        <v>514</v>
      </c>
      <c r="E620" s="14" t="s">
        <v>79</v>
      </c>
      <c r="F620" s="19">
        <v>1</v>
      </c>
      <c r="G620" s="205"/>
      <c r="H620" s="205">
        <f t="shared" si="214"/>
        <v>0</v>
      </c>
      <c r="I620" s="205">
        <f t="shared" ref="I620:I658" si="222">F620*H620</f>
        <v>0</v>
      </c>
      <c r="J620" s="49">
        <v>0.25</v>
      </c>
      <c r="K620" s="50">
        <f t="shared" ref="K620:K658" si="223">F620*J620</f>
        <v>0.25</v>
      </c>
      <c r="L620" s="50" t="s">
        <v>1045</v>
      </c>
      <c r="M620" s="48">
        <v>42.1</v>
      </c>
      <c r="N620" s="48">
        <f t="shared" si="217"/>
        <v>30.775100000000002</v>
      </c>
      <c r="O620" s="48">
        <f t="shared" ref="O620:O658" si="224">J620*N620</f>
        <v>7.6937750000000005</v>
      </c>
      <c r="P620" s="48">
        <f t="shared" ref="P620:P658" si="225">F620*O620</f>
        <v>7.6937750000000005</v>
      </c>
      <c r="Q620" s="48">
        <f t="shared" si="220"/>
        <v>7.6937750000000005</v>
      </c>
      <c r="R620" s="41">
        <f t="shared" si="221"/>
        <v>10.979016925</v>
      </c>
    </row>
    <row r="621" spans="2:18" ht="25.5" x14ac:dyDescent="0.2">
      <c r="B621" s="61">
        <f>IF(F621&lt;&gt;"",1+MAX($B$21:B620),"")</f>
        <v>365</v>
      </c>
      <c r="C621" s="196"/>
      <c r="D621" s="73" t="s">
        <v>515</v>
      </c>
      <c r="E621" s="14" t="s">
        <v>79</v>
      </c>
      <c r="F621" s="19">
        <v>1</v>
      </c>
      <c r="G621" s="205"/>
      <c r="H621" s="205">
        <f t="shared" si="214"/>
        <v>0</v>
      </c>
      <c r="I621" s="205">
        <f t="shared" si="222"/>
        <v>0</v>
      </c>
      <c r="J621" s="49">
        <v>0.3</v>
      </c>
      <c r="K621" s="50">
        <f t="shared" si="223"/>
        <v>0.3</v>
      </c>
      <c r="L621" s="50" t="s">
        <v>1045</v>
      </c>
      <c r="M621" s="48">
        <v>42.1</v>
      </c>
      <c r="N621" s="48">
        <f t="shared" si="217"/>
        <v>30.775100000000002</v>
      </c>
      <c r="O621" s="48">
        <f t="shared" si="224"/>
        <v>9.2325300000000006</v>
      </c>
      <c r="P621" s="48">
        <f t="shared" si="225"/>
        <v>9.2325300000000006</v>
      </c>
      <c r="Q621" s="48">
        <f t="shared" si="220"/>
        <v>9.2325300000000006</v>
      </c>
      <c r="R621" s="41">
        <f t="shared" si="221"/>
        <v>13.174820310000001</v>
      </c>
    </row>
    <row r="622" spans="2:18" ht="25.5" x14ac:dyDescent="0.2">
      <c r="B622" s="61">
        <f>IF(F622&lt;&gt;"",1+MAX($B$21:B621),"")</f>
        <v>366</v>
      </c>
      <c r="C622" s="196"/>
      <c r="D622" s="73" t="s">
        <v>516</v>
      </c>
      <c r="E622" s="14" t="s">
        <v>79</v>
      </c>
      <c r="F622" s="19">
        <v>1</v>
      </c>
      <c r="G622" s="205"/>
      <c r="H622" s="205">
        <f t="shared" si="214"/>
        <v>0</v>
      </c>
      <c r="I622" s="205">
        <f t="shared" si="222"/>
        <v>0</v>
      </c>
      <c r="J622" s="49">
        <v>0.75</v>
      </c>
      <c r="K622" s="50">
        <f t="shared" si="223"/>
        <v>0.75</v>
      </c>
      <c r="L622" s="50" t="s">
        <v>1045</v>
      </c>
      <c r="M622" s="48">
        <v>42.1</v>
      </c>
      <c r="N622" s="48">
        <f t="shared" si="217"/>
        <v>30.775100000000002</v>
      </c>
      <c r="O622" s="48">
        <f t="shared" si="224"/>
        <v>23.081325</v>
      </c>
      <c r="P622" s="48">
        <f t="shared" si="225"/>
        <v>23.081325</v>
      </c>
      <c r="Q622" s="48">
        <f t="shared" si="220"/>
        <v>23.081325</v>
      </c>
      <c r="R622" s="41">
        <f t="shared" si="221"/>
        <v>32.937050774999996</v>
      </c>
    </row>
    <row r="623" spans="2:18" ht="25.5" x14ac:dyDescent="0.2">
      <c r="B623" s="61">
        <f>IF(F623&lt;&gt;"",1+MAX($B$21:B622),"")</f>
        <v>367</v>
      </c>
      <c r="C623" s="196"/>
      <c r="D623" s="73" t="s">
        <v>517</v>
      </c>
      <c r="E623" s="14" t="s">
        <v>79</v>
      </c>
      <c r="F623" s="19">
        <v>1</v>
      </c>
      <c r="G623" s="205"/>
      <c r="H623" s="205">
        <f t="shared" si="214"/>
        <v>0</v>
      </c>
      <c r="I623" s="205">
        <f t="shared" si="222"/>
        <v>0</v>
      </c>
      <c r="J623" s="49">
        <v>1</v>
      </c>
      <c r="K623" s="50">
        <f t="shared" si="223"/>
        <v>1</v>
      </c>
      <c r="L623" s="50" t="s">
        <v>1045</v>
      </c>
      <c r="M623" s="48">
        <v>42.1</v>
      </c>
      <c r="N623" s="48">
        <f t="shared" si="217"/>
        <v>30.775100000000002</v>
      </c>
      <c r="O623" s="48">
        <f t="shared" si="224"/>
        <v>30.775100000000002</v>
      </c>
      <c r="P623" s="48">
        <f t="shared" si="225"/>
        <v>30.775100000000002</v>
      </c>
      <c r="Q623" s="48">
        <f t="shared" si="220"/>
        <v>30.775100000000002</v>
      </c>
      <c r="R623" s="41">
        <f t="shared" si="221"/>
        <v>43.916067699999999</v>
      </c>
    </row>
    <row r="624" spans="2:18" ht="25.5" x14ac:dyDescent="0.2">
      <c r="B624" s="61">
        <f>IF(F624&lt;&gt;"",1+MAX($B$21:B623),"")</f>
        <v>368</v>
      </c>
      <c r="C624" s="196"/>
      <c r="D624" s="73" t="s">
        <v>518</v>
      </c>
      <c r="E624" s="14" t="s">
        <v>79</v>
      </c>
      <c r="F624" s="19">
        <v>1</v>
      </c>
      <c r="G624" s="205"/>
      <c r="H624" s="205">
        <f t="shared" si="214"/>
        <v>0</v>
      </c>
      <c r="I624" s="205">
        <f t="shared" si="222"/>
        <v>0</v>
      </c>
      <c r="J624" s="49">
        <v>0.3</v>
      </c>
      <c r="K624" s="50">
        <f t="shared" si="223"/>
        <v>0.3</v>
      </c>
      <c r="L624" s="50" t="s">
        <v>1045</v>
      </c>
      <c r="M624" s="48">
        <v>42.1</v>
      </c>
      <c r="N624" s="48">
        <f t="shared" si="217"/>
        <v>30.775100000000002</v>
      </c>
      <c r="O624" s="48">
        <f t="shared" si="224"/>
        <v>9.2325300000000006</v>
      </c>
      <c r="P624" s="48">
        <f t="shared" si="225"/>
        <v>9.2325300000000006</v>
      </c>
      <c r="Q624" s="48">
        <f t="shared" si="220"/>
        <v>9.2325300000000006</v>
      </c>
      <c r="R624" s="41">
        <f t="shared" si="221"/>
        <v>13.174820310000001</v>
      </c>
    </row>
    <row r="625" spans="2:18" ht="25.5" x14ac:dyDescent="0.2">
      <c r="B625" s="61">
        <f>IF(F625&lt;&gt;"",1+MAX($B$21:B624),"")</f>
        <v>369</v>
      </c>
      <c r="C625" s="196"/>
      <c r="D625" s="73" t="s">
        <v>519</v>
      </c>
      <c r="E625" s="14" t="s">
        <v>79</v>
      </c>
      <c r="F625" s="19">
        <v>1</v>
      </c>
      <c r="G625" s="205"/>
      <c r="H625" s="205">
        <f t="shared" si="214"/>
        <v>0</v>
      </c>
      <c r="I625" s="205">
        <f t="shared" si="222"/>
        <v>0</v>
      </c>
      <c r="J625" s="49">
        <v>0.5</v>
      </c>
      <c r="K625" s="50">
        <f t="shared" si="223"/>
        <v>0.5</v>
      </c>
      <c r="L625" s="50" t="s">
        <v>1045</v>
      </c>
      <c r="M625" s="48">
        <v>42.1</v>
      </c>
      <c r="N625" s="48">
        <f t="shared" si="217"/>
        <v>30.775100000000002</v>
      </c>
      <c r="O625" s="48">
        <f t="shared" si="224"/>
        <v>15.387550000000001</v>
      </c>
      <c r="P625" s="48">
        <f t="shared" si="225"/>
        <v>15.387550000000001</v>
      </c>
      <c r="Q625" s="48">
        <f t="shared" si="220"/>
        <v>15.387550000000001</v>
      </c>
      <c r="R625" s="41">
        <f t="shared" si="221"/>
        <v>21.95803385</v>
      </c>
    </row>
    <row r="626" spans="2:18" ht="25.5" x14ac:dyDescent="0.2">
      <c r="B626" s="61">
        <f>IF(F626&lt;&gt;"",1+MAX($B$21:B625),"")</f>
        <v>370</v>
      </c>
      <c r="C626" s="196"/>
      <c r="D626" s="73" t="s">
        <v>520</v>
      </c>
      <c r="E626" s="14" t="s">
        <v>79</v>
      </c>
      <c r="F626" s="19">
        <v>1</v>
      </c>
      <c r="G626" s="205"/>
      <c r="H626" s="205">
        <f t="shared" si="214"/>
        <v>0</v>
      </c>
      <c r="I626" s="205">
        <f t="shared" si="222"/>
        <v>0</v>
      </c>
      <c r="J626" s="49">
        <v>0.15</v>
      </c>
      <c r="K626" s="50">
        <f t="shared" si="223"/>
        <v>0.15</v>
      </c>
      <c r="L626" s="50" t="s">
        <v>1045</v>
      </c>
      <c r="M626" s="48">
        <v>42.1</v>
      </c>
      <c r="N626" s="48">
        <f t="shared" si="217"/>
        <v>30.775100000000002</v>
      </c>
      <c r="O626" s="48">
        <f t="shared" si="224"/>
        <v>4.6162650000000003</v>
      </c>
      <c r="P626" s="48">
        <f t="shared" si="225"/>
        <v>4.6162650000000003</v>
      </c>
      <c r="Q626" s="48">
        <f t="shared" si="220"/>
        <v>4.6162650000000003</v>
      </c>
      <c r="R626" s="41">
        <f t="shared" si="221"/>
        <v>6.5874101550000006</v>
      </c>
    </row>
    <row r="627" spans="2:18" ht="25.5" x14ac:dyDescent="0.2">
      <c r="B627" s="61">
        <f>IF(F627&lt;&gt;"",1+MAX($B$21:B626),"")</f>
        <v>371</v>
      </c>
      <c r="C627" s="196"/>
      <c r="D627" s="73" t="s">
        <v>521</v>
      </c>
      <c r="E627" s="14" t="s">
        <v>79</v>
      </c>
      <c r="F627" s="19">
        <v>1</v>
      </c>
      <c r="G627" s="205"/>
      <c r="H627" s="205">
        <f t="shared" si="214"/>
        <v>0</v>
      </c>
      <c r="I627" s="205">
        <f t="shared" si="222"/>
        <v>0</v>
      </c>
      <c r="J627" s="49">
        <v>0.35</v>
      </c>
      <c r="K627" s="50">
        <f t="shared" si="223"/>
        <v>0.35</v>
      </c>
      <c r="L627" s="50" t="s">
        <v>1045</v>
      </c>
      <c r="M627" s="48">
        <v>42.1</v>
      </c>
      <c r="N627" s="48">
        <f t="shared" si="217"/>
        <v>30.775100000000002</v>
      </c>
      <c r="O627" s="48">
        <f t="shared" si="224"/>
        <v>10.771285000000001</v>
      </c>
      <c r="P627" s="48">
        <f t="shared" si="225"/>
        <v>10.771285000000001</v>
      </c>
      <c r="Q627" s="48">
        <f t="shared" si="220"/>
        <v>10.771285000000001</v>
      </c>
      <c r="R627" s="41">
        <f t="shared" si="221"/>
        <v>15.370623695000001</v>
      </c>
    </row>
    <row r="628" spans="2:18" ht="25.5" x14ac:dyDescent="0.2">
      <c r="B628" s="61">
        <f>IF(F628&lt;&gt;"",1+MAX($B$21:B627),"")</f>
        <v>372</v>
      </c>
      <c r="C628" s="196"/>
      <c r="D628" s="73" t="s">
        <v>522</v>
      </c>
      <c r="E628" s="14" t="s">
        <v>79</v>
      </c>
      <c r="F628" s="19">
        <v>1</v>
      </c>
      <c r="G628" s="205"/>
      <c r="H628" s="205">
        <f t="shared" si="214"/>
        <v>0</v>
      </c>
      <c r="I628" s="205">
        <f t="shared" si="222"/>
        <v>0</v>
      </c>
      <c r="J628" s="49">
        <v>0.35</v>
      </c>
      <c r="K628" s="50">
        <f t="shared" si="223"/>
        <v>0.35</v>
      </c>
      <c r="L628" s="50" t="s">
        <v>1045</v>
      </c>
      <c r="M628" s="48">
        <v>42.1</v>
      </c>
      <c r="N628" s="48">
        <f t="shared" si="217"/>
        <v>30.775100000000002</v>
      </c>
      <c r="O628" s="48">
        <f t="shared" si="224"/>
        <v>10.771285000000001</v>
      </c>
      <c r="P628" s="48">
        <f t="shared" si="225"/>
        <v>10.771285000000001</v>
      </c>
      <c r="Q628" s="48">
        <f t="shared" si="220"/>
        <v>10.771285000000001</v>
      </c>
      <c r="R628" s="41">
        <f t="shared" si="221"/>
        <v>15.370623695000001</v>
      </c>
    </row>
    <row r="629" spans="2:18" ht="25.5" x14ac:dyDescent="0.2">
      <c r="B629" s="61">
        <f>IF(F629&lt;&gt;"",1+MAX($B$21:B628),"")</f>
        <v>373</v>
      </c>
      <c r="C629" s="196"/>
      <c r="D629" s="73" t="s">
        <v>523</v>
      </c>
      <c r="E629" s="14" t="s">
        <v>79</v>
      </c>
      <c r="F629" s="19">
        <v>1</v>
      </c>
      <c r="G629" s="205"/>
      <c r="H629" s="205">
        <f t="shared" si="214"/>
        <v>0</v>
      </c>
      <c r="I629" s="205">
        <f t="shared" si="222"/>
        <v>0</v>
      </c>
      <c r="J629" s="49">
        <v>0.05</v>
      </c>
      <c r="K629" s="50">
        <f t="shared" si="223"/>
        <v>0.05</v>
      </c>
      <c r="L629" s="50" t="s">
        <v>1045</v>
      </c>
      <c r="M629" s="48">
        <v>42.1</v>
      </c>
      <c r="N629" s="48">
        <f t="shared" si="217"/>
        <v>30.775100000000002</v>
      </c>
      <c r="O629" s="48">
        <f t="shared" si="224"/>
        <v>1.5387550000000001</v>
      </c>
      <c r="P629" s="48">
        <f t="shared" si="225"/>
        <v>1.5387550000000001</v>
      </c>
      <c r="Q629" s="48">
        <f t="shared" si="220"/>
        <v>1.5387550000000001</v>
      </c>
      <c r="R629" s="41">
        <f t="shared" si="221"/>
        <v>2.1958033850000005</v>
      </c>
    </row>
    <row r="630" spans="2:18" ht="25.5" x14ac:dyDescent="0.2">
      <c r="B630" s="61">
        <f>IF(F630&lt;&gt;"",1+MAX($B$21:B629),"")</f>
        <v>374</v>
      </c>
      <c r="C630" s="196"/>
      <c r="D630" s="73" t="s">
        <v>524</v>
      </c>
      <c r="E630" s="14" t="s">
        <v>79</v>
      </c>
      <c r="F630" s="19">
        <v>1</v>
      </c>
      <c r="G630" s="205"/>
      <c r="H630" s="205">
        <f t="shared" si="214"/>
        <v>0</v>
      </c>
      <c r="I630" s="205">
        <f t="shared" si="222"/>
        <v>0</v>
      </c>
      <c r="J630" s="49">
        <v>0.05</v>
      </c>
      <c r="K630" s="50">
        <f t="shared" si="223"/>
        <v>0.05</v>
      </c>
      <c r="L630" s="50" t="s">
        <v>1045</v>
      </c>
      <c r="M630" s="48">
        <v>42.1</v>
      </c>
      <c r="N630" s="48">
        <f t="shared" si="217"/>
        <v>30.775100000000002</v>
      </c>
      <c r="O630" s="48">
        <f t="shared" si="224"/>
        <v>1.5387550000000001</v>
      </c>
      <c r="P630" s="48">
        <f t="shared" si="225"/>
        <v>1.5387550000000001</v>
      </c>
      <c r="Q630" s="48">
        <f t="shared" si="220"/>
        <v>1.5387550000000001</v>
      </c>
      <c r="R630" s="41">
        <f t="shared" si="221"/>
        <v>2.1958033850000005</v>
      </c>
    </row>
    <row r="631" spans="2:18" ht="25.5" x14ac:dyDescent="0.2">
      <c r="B631" s="61">
        <f>IF(F631&lt;&gt;"",1+MAX($B$21:B630),"")</f>
        <v>375</v>
      </c>
      <c r="C631" s="196"/>
      <c r="D631" s="73" t="s">
        <v>525</v>
      </c>
      <c r="E631" s="14" t="s">
        <v>79</v>
      </c>
      <c r="F631" s="19">
        <v>1</v>
      </c>
      <c r="G631" s="205"/>
      <c r="H631" s="205">
        <f t="shared" si="214"/>
        <v>0</v>
      </c>
      <c r="I631" s="205">
        <f t="shared" si="222"/>
        <v>0</v>
      </c>
      <c r="J631" s="49">
        <v>0.05</v>
      </c>
      <c r="K631" s="50">
        <f t="shared" si="223"/>
        <v>0.05</v>
      </c>
      <c r="L631" s="50" t="s">
        <v>1045</v>
      </c>
      <c r="M631" s="48">
        <v>42.1</v>
      </c>
      <c r="N631" s="48">
        <f t="shared" si="217"/>
        <v>30.775100000000002</v>
      </c>
      <c r="O631" s="48">
        <f t="shared" si="224"/>
        <v>1.5387550000000001</v>
      </c>
      <c r="P631" s="48">
        <f t="shared" si="225"/>
        <v>1.5387550000000001</v>
      </c>
      <c r="Q631" s="48">
        <f t="shared" si="220"/>
        <v>1.5387550000000001</v>
      </c>
      <c r="R631" s="41">
        <f t="shared" si="221"/>
        <v>2.1958033850000005</v>
      </c>
    </row>
    <row r="632" spans="2:18" ht="25.5" x14ac:dyDescent="0.2">
      <c r="B632" s="61">
        <f>IF(F632&lt;&gt;"",1+MAX($B$21:B631),"")</f>
        <v>376</v>
      </c>
      <c r="C632" s="196"/>
      <c r="D632" s="73" t="s">
        <v>526</v>
      </c>
      <c r="E632" s="14" t="s">
        <v>79</v>
      </c>
      <c r="F632" s="19">
        <v>1</v>
      </c>
      <c r="G632" s="205"/>
      <c r="H632" s="205">
        <f t="shared" si="214"/>
        <v>0</v>
      </c>
      <c r="I632" s="205">
        <f t="shared" si="222"/>
        <v>0</v>
      </c>
      <c r="J632" s="49">
        <v>1</v>
      </c>
      <c r="K632" s="50">
        <f t="shared" si="223"/>
        <v>1</v>
      </c>
      <c r="L632" s="50" t="s">
        <v>1045</v>
      </c>
      <c r="M632" s="48">
        <v>42.1</v>
      </c>
      <c r="N632" s="48">
        <f t="shared" si="217"/>
        <v>30.775100000000002</v>
      </c>
      <c r="O632" s="48">
        <f t="shared" si="224"/>
        <v>30.775100000000002</v>
      </c>
      <c r="P632" s="48">
        <f t="shared" si="225"/>
        <v>30.775100000000002</v>
      </c>
      <c r="Q632" s="48">
        <f t="shared" si="220"/>
        <v>30.775100000000002</v>
      </c>
      <c r="R632" s="41">
        <f t="shared" si="221"/>
        <v>43.916067699999999</v>
      </c>
    </row>
    <row r="633" spans="2:18" ht="25.5" x14ac:dyDescent="0.2">
      <c r="B633" s="61">
        <f>IF(F633&lt;&gt;"",1+MAX($B$21:B632),"")</f>
        <v>377</v>
      </c>
      <c r="C633" s="196"/>
      <c r="D633" s="73" t="s">
        <v>527</v>
      </c>
      <c r="E633" s="14" t="s">
        <v>79</v>
      </c>
      <c r="F633" s="19">
        <v>1</v>
      </c>
      <c r="G633" s="205"/>
      <c r="H633" s="205">
        <f t="shared" si="214"/>
        <v>0</v>
      </c>
      <c r="I633" s="205">
        <f t="shared" si="222"/>
        <v>0</v>
      </c>
      <c r="J633" s="49">
        <v>1.25</v>
      </c>
      <c r="K633" s="50">
        <f t="shared" si="223"/>
        <v>1.25</v>
      </c>
      <c r="L633" s="50" t="s">
        <v>1045</v>
      </c>
      <c r="M633" s="48">
        <v>42.1</v>
      </c>
      <c r="N633" s="48">
        <f t="shared" si="217"/>
        <v>30.775100000000002</v>
      </c>
      <c r="O633" s="48">
        <f t="shared" si="224"/>
        <v>38.468875000000004</v>
      </c>
      <c r="P633" s="48">
        <f t="shared" si="225"/>
        <v>38.468875000000004</v>
      </c>
      <c r="Q633" s="48">
        <f t="shared" si="220"/>
        <v>38.468875000000004</v>
      </c>
      <c r="R633" s="41">
        <f t="shared" si="221"/>
        <v>54.895084625000003</v>
      </c>
    </row>
    <row r="634" spans="2:18" ht="25.5" x14ac:dyDescent="0.2">
      <c r="B634" s="61">
        <f>IF(F634&lt;&gt;"",1+MAX($B$21:B633),"")</f>
        <v>378</v>
      </c>
      <c r="C634" s="196"/>
      <c r="D634" s="73" t="s">
        <v>528</v>
      </c>
      <c r="E634" s="14" t="s">
        <v>79</v>
      </c>
      <c r="F634" s="19">
        <v>1</v>
      </c>
      <c r="G634" s="205"/>
      <c r="H634" s="205">
        <f t="shared" si="214"/>
        <v>0</v>
      </c>
      <c r="I634" s="205">
        <f t="shared" si="222"/>
        <v>0</v>
      </c>
      <c r="J634" s="49">
        <v>1.75</v>
      </c>
      <c r="K634" s="50">
        <f t="shared" si="223"/>
        <v>1.75</v>
      </c>
      <c r="L634" s="50" t="s">
        <v>1045</v>
      </c>
      <c r="M634" s="48">
        <v>42.1</v>
      </c>
      <c r="N634" s="48">
        <f t="shared" si="217"/>
        <v>30.775100000000002</v>
      </c>
      <c r="O634" s="48">
        <f t="shared" si="224"/>
        <v>53.856425000000002</v>
      </c>
      <c r="P634" s="48">
        <f t="shared" si="225"/>
        <v>53.856425000000002</v>
      </c>
      <c r="Q634" s="48">
        <f t="shared" si="220"/>
        <v>53.856425000000002</v>
      </c>
      <c r="R634" s="41">
        <f t="shared" si="221"/>
        <v>76.853118475000002</v>
      </c>
    </row>
    <row r="635" spans="2:18" ht="25.5" x14ac:dyDescent="0.2">
      <c r="B635" s="61">
        <f>IF(F635&lt;&gt;"",1+MAX($B$21:B634),"")</f>
        <v>379</v>
      </c>
      <c r="C635" s="196"/>
      <c r="D635" s="73" t="s">
        <v>529</v>
      </c>
      <c r="E635" s="14" t="s">
        <v>79</v>
      </c>
      <c r="F635" s="19">
        <v>1</v>
      </c>
      <c r="G635" s="205"/>
      <c r="H635" s="205">
        <f t="shared" si="214"/>
        <v>0</v>
      </c>
      <c r="I635" s="205">
        <f t="shared" si="222"/>
        <v>0</v>
      </c>
      <c r="J635" s="49">
        <v>2.25</v>
      </c>
      <c r="K635" s="50">
        <f t="shared" si="223"/>
        <v>2.25</v>
      </c>
      <c r="L635" s="50" t="s">
        <v>1045</v>
      </c>
      <c r="M635" s="48">
        <v>42.1</v>
      </c>
      <c r="N635" s="48">
        <f t="shared" si="217"/>
        <v>30.775100000000002</v>
      </c>
      <c r="O635" s="48">
        <f t="shared" si="224"/>
        <v>69.243975000000006</v>
      </c>
      <c r="P635" s="48">
        <f t="shared" si="225"/>
        <v>69.243975000000006</v>
      </c>
      <c r="Q635" s="48">
        <f t="shared" si="220"/>
        <v>69.243975000000006</v>
      </c>
      <c r="R635" s="41">
        <f t="shared" si="221"/>
        <v>98.811152324999995</v>
      </c>
    </row>
    <row r="636" spans="2:18" ht="25.5" x14ac:dyDescent="0.2">
      <c r="B636" s="61">
        <f>IF(F636&lt;&gt;"",1+MAX($B$21:B635),"")</f>
        <v>380</v>
      </c>
      <c r="C636" s="196"/>
      <c r="D636" s="73" t="s">
        <v>530</v>
      </c>
      <c r="E636" s="14" t="s">
        <v>79</v>
      </c>
      <c r="F636" s="19">
        <v>1</v>
      </c>
      <c r="G636" s="205"/>
      <c r="H636" s="205">
        <f t="shared" si="214"/>
        <v>0</v>
      </c>
      <c r="I636" s="205">
        <f t="shared" si="222"/>
        <v>0</v>
      </c>
      <c r="J636" s="49">
        <v>1.25</v>
      </c>
      <c r="K636" s="50">
        <f t="shared" si="223"/>
        <v>1.25</v>
      </c>
      <c r="L636" s="50" t="s">
        <v>1073</v>
      </c>
      <c r="M636" s="48">
        <v>42.1</v>
      </c>
      <c r="N636" s="48">
        <f t="shared" si="217"/>
        <v>30.775100000000002</v>
      </c>
      <c r="O636" s="48">
        <f t="shared" si="224"/>
        <v>38.468875000000004</v>
      </c>
      <c r="P636" s="48">
        <f t="shared" si="225"/>
        <v>38.468875000000004</v>
      </c>
      <c r="Q636" s="48">
        <f t="shared" si="220"/>
        <v>38.468875000000004</v>
      </c>
      <c r="R636" s="41">
        <f t="shared" si="221"/>
        <v>54.895084625000003</v>
      </c>
    </row>
    <row r="637" spans="2:18" ht="25.5" x14ac:dyDescent="0.2">
      <c r="B637" s="61">
        <f>IF(F637&lt;&gt;"",1+MAX($B$21:B636),"")</f>
        <v>381</v>
      </c>
      <c r="C637" s="196"/>
      <c r="D637" s="73" t="s">
        <v>531</v>
      </c>
      <c r="E637" s="14" t="s">
        <v>79</v>
      </c>
      <c r="F637" s="19">
        <v>1</v>
      </c>
      <c r="G637" s="205"/>
      <c r="H637" s="205">
        <f t="shared" si="214"/>
        <v>0</v>
      </c>
      <c r="I637" s="205">
        <f t="shared" si="222"/>
        <v>0</v>
      </c>
      <c r="J637" s="49">
        <v>1.25</v>
      </c>
      <c r="K637" s="50">
        <f t="shared" si="223"/>
        <v>1.25</v>
      </c>
      <c r="L637" s="50" t="s">
        <v>1073</v>
      </c>
      <c r="M637" s="48">
        <v>42.1</v>
      </c>
      <c r="N637" s="48">
        <f t="shared" si="217"/>
        <v>30.775100000000002</v>
      </c>
      <c r="O637" s="48">
        <f t="shared" si="224"/>
        <v>38.468875000000004</v>
      </c>
      <c r="P637" s="48">
        <f t="shared" si="225"/>
        <v>38.468875000000004</v>
      </c>
      <c r="Q637" s="48">
        <f t="shared" si="220"/>
        <v>38.468875000000004</v>
      </c>
      <c r="R637" s="41">
        <f t="shared" si="221"/>
        <v>54.895084625000003</v>
      </c>
    </row>
    <row r="638" spans="2:18" ht="25.5" x14ac:dyDescent="0.2">
      <c r="B638" s="61">
        <f>IF(F638&lt;&gt;"",1+MAX($B$21:B637),"")</f>
        <v>382</v>
      </c>
      <c r="C638" s="196"/>
      <c r="D638" s="73" t="s">
        <v>532</v>
      </c>
      <c r="E638" s="14" t="s">
        <v>79</v>
      </c>
      <c r="F638" s="19">
        <v>1</v>
      </c>
      <c r="G638" s="205"/>
      <c r="H638" s="205">
        <f t="shared" si="214"/>
        <v>0</v>
      </c>
      <c r="I638" s="205">
        <f t="shared" si="222"/>
        <v>0</v>
      </c>
      <c r="J638" s="49">
        <v>1</v>
      </c>
      <c r="K638" s="50">
        <f t="shared" si="223"/>
        <v>1</v>
      </c>
      <c r="L638" s="50" t="s">
        <v>1073</v>
      </c>
      <c r="M638" s="48">
        <v>42.1</v>
      </c>
      <c r="N638" s="48">
        <f t="shared" si="217"/>
        <v>30.775100000000002</v>
      </c>
      <c r="O638" s="48">
        <f t="shared" si="224"/>
        <v>30.775100000000002</v>
      </c>
      <c r="P638" s="48">
        <f t="shared" si="225"/>
        <v>30.775100000000002</v>
      </c>
      <c r="Q638" s="48">
        <f t="shared" si="220"/>
        <v>30.775100000000002</v>
      </c>
      <c r="R638" s="41">
        <f t="shared" si="221"/>
        <v>43.916067699999999</v>
      </c>
    </row>
    <row r="639" spans="2:18" ht="25.5" x14ac:dyDescent="0.2">
      <c r="B639" s="61">
        <f>IF(F639&lt;&gt;"",1+MAX($B$21:B638),"")</f>
        <v>383</v>
      </c>
      <c r="C639" s="196"/>
      <c r="D639" s="73" t="s">
        <v>533</v>
      </c>
      <c r="E639" s="14" t="s">
        <v>79</v>
      </c>
      <c r="F639" s="19">
        <v>1</v>
      </c>
      <c r="G639" s="205"/>
      <c r="H639" s="205">
        <f t="shared" si="214"/>
        <v>0</v>
      </c>
      <c r="I639" s="205">
        <f t="shared" si="222"/>
        <v>0</v>
      </c>
      <c r="J639" s="49">
        <v>1</v>
      </c>
      <c r="K639" s="50">
        <f t="shared" si="223"/>
        <v>1</v>
      </c>
      <c r="L639" s="50" t="s">
        <v>1073</v>
      </c>
      <c r="M639" s="48">
        <v>42.1</v>
      </c>
      <c r="N639" s="48">
        <f t="shared" si="217"/>
        <v>30.775100000000002</v>
      </c>
      <c r="O639" s="48">
        <f t="shared" si="224"/>
        <v>30.775100000000002</v>
      </c>
      <c r="P639" s="48">
        <f t="shared" si="225"/>
        <v>30.775100000000002</v>
      </c>
      <c r="Q639" s="48">
        <f t="shared" si="220"/>
        <v>30.775100000000002</v>
      </c>
      <c r="R639" s="41">
        <f t="shared" si="221"/>
        <v>43.916067699999999</v>
      </c>
    </row>
    <row r="640" spans="2:18" ht="25.5" x14ac:dyDescent="0.2">
      <c r="B640" s="61">
        <f>IF(F640&lt;&gt;"",1+MAX($B$21:B639),"")</f>
        <v>384</v>
      </c>
      <c r="C640" s="196"/>
      <c r="D640" s="73" t="s">
        <v>534</v>
      </c>
      <c r="E640" s="14" t="s">
        <v>79</v>
      </c>
      <c r="F640" s="19">
        <v>1</v>
      </c>
      <c r="G640" s="205"/>
      <c r="H640" s="205">
        <f t="shared" si="214"/>
        <v>0</v>
      </c>
      <c r="I640" s="205">
        <f t="shared" si="222"/>
        <v>0</v>
      </c>
      <c r="J640" s="49">
        <v>1.25</v>
      </c>
      <c r="K640" s="50">
        <f t="shared" si="223"/>
        <v>1.25</v>
      </c>
      <c r="L640" s="50" t="s">
        <v>1045</v>
      </c>
      <c r="M640" s="48">
        <v>42.1</v>
      </c>
      <c r="N640" s="48">
        <f t="shared" si="217"/>
        <v>30.775100000000002</v>
      </c>
      <c r="O640" s="48">
        <f t="shared" si="224"/>
        <v>38.468875000000004</v>
      </c>
      <c r="P640" s="48">
        <f t="shared" si="225"/>
        <v>38.468875000000004</v>
      </c>
      <c r="Q640" s="48">
        <f t="shared" si="220"/>
        <v>38.468875000000004</v>
      </c>
      <c r="R640" s="41">
        <f t="shared" si="221"/>
        <v>54.895084625000003</v>
      </c>
    </row>
    <row r="641" spans="2:18" ht="25.5" x14ac:dyDescent="0.2">
      <c r="B641" s="61">
        <f>IF(F641&lt;&gt;"",1+MAX($B$21:B640),"")</f>
        <v>385</v>
      </c>
      <c r="C641" s="196"/>
      <c r="D641" s="73" t="s">
        <v>535</v>
      </c>
      <c r="E641" s="14" t="s">
        <v>79</v>
      </c>
      <c r="F641" s="19">
        <v>1</v>
      </c>
      <c r="G641" s="205"/>
      <c r="H641" s="205">
        <f t="shared" si="214"/>
        <v>0</v>
      </c>
      <c r="I641" s="205">
        <f t="shared" si="222"/>
        <v>0</v>
      </c>
      <c r="J641" s="49">
        <v>0.5</v>
      </c>
      <c r="K641" s="50">
        <f t="shared" si="223"/>
        <v>0.5</v>
      </c>
      <c r="L641" s="50" t="s">
        <v>1073</v>
      </c>
      <c r="M641" s="48">
        <v>42.1</v>
      </c>
      <c r="N641" s="48">
        <f t="shared" si="217"/>
        <v>30.775100000000002</v>
      </c>
      <c r="O641" s="48">
        <f t="shared" si="224"/>
        <v>15.387550000000001</v>
      </c>
      <c r="P641" s="48">
        <f t="shared" si="225"/>
        <v>15.387550000000001</v>
      </c>
      <c r="Q641" s="48">
        <f t="shared" si="220"/>
        <v>15.387550000000001</v>
      </c>
      <c r="R641" s="41">
        <f t="shared" si="221"/>
        <v>21.95803385</v>
      </c>
    </row>
    <row r="642" spans="2:18" ht="25.5" x14ac:dyDescent="0.2">
      <c r="B642" s="61">
        <f>IF(F642&lt;&gt;"",1+MAX($B$21:B641),"")</f>
        <v>386</v>
      </c>
      <c r="C642" s="196"/>
      <c r="D642" s="73" t="s">
        <v>536</v>
      </c>
      <c r="E642" s="14" t="s">
        <v>79</v>
      </c>
      <c r="F642" s="19">
        <v>1</v>
      </c>
      <c r="G642" s="205"/>
      <c r="H642" s="205">
        <f t="shared" si="214"/>
        <v>0</v>
      </c>
      <c r="I642" s="205">
        <f t="shared" si="222"/>
        <v>0</v>
      </c>
      <c r="J642" s="49">
        <v>0.75</v>
      </c>
      <c r="K642" s="50">
        <f t="shared" si="223"/>
        <v>0.75</v>
      </c>
      <c r="L642" s="50" t="s">
        <v>1073</v>
      </c>
      <c r="M642" s="48">
        <v>42.1</v>
      </c>
      <c r="N642" s="48">
        <f t="shared" si="217"/>
        <v>30.775100000000002</v>
      </c>
      <c r="O642" s="48">
        <f t="shared" si="224"/>
        <v>23.081325</v>
      </c>
      <c r="P642" s="48">
        <f t="shared" si="225"/>
        <v>23.081325</v>
      </c>
      <c r="Q642" s="48">
        <f t="shared" si="220"/>
        <v>23.081325</v>
      </c>
      <c r="R642" s="41">
        <f t="shared" si="221"/>
        <v>32.937050774999996</v>
      </c>
    </row>
    <row r="643" spans="2:18" ht="25.5" x14ac:dyDescent="0.2">
      <c r="B643" s="61">
        <f>IF(F643&lt;&gt;"",1+MAX($B$21:B642),"")</f>
        <v>387</v>
      </c>
      <c r="C643" s="196"/>
      <c r="D643" s="73" t="s">
        <v>537</v>
      </c>
      <c r="E643" s="14" t="s">
        <v>79</v>
      </c>
      <c r="F643" s="19">
        <v>1</v>
      </c>
      <c r="G643" s="205"/>
      <c r="H643" s="205">
        <f t="shared" si="214"/>
        <v>0</v>
      </c>
      <c r="I643" s="205">
        <f t="shared" si="222"/>
        <v>0</v>
      </c>
      <c r="J643" s="49">
        <v>0.75</v>
      </c>
      <c r="K643" s="50">
        <f t="shared" si="223"/>
        <v>0.75</v>
      </c>
      <c r="L643" s="50" t="s">
        <v>1045</v>
      </c>
      <c r="M643" s="48">
        <v>42.1</v>
      </c>
      <c r="N643" s="48">
        <f t="shared" si="217"/>
        <v>30.775100000000002</v>
      </c>
      <c r="O643" s="48">
        <f t="shared" si="224"/>
        <v>23.081325</v>
      </c>
      <c r="P643" s="48">
        <f t="shared" si="225"/>
        <v>23.081325</v>
      </c>
      <c r="Q643" s="48">
        <f t="shared" si="220"/>
        <v>23.081325</v>
      </c>
      <c r="R643" s="41">
        <f t="shared" si="221"/>
        <v>32.937050774999996</v>
      </c>
    </row>
    <row r="644" spans="2:18" ht="25.5" x14ac:dyDescent="0.2">
      <c r="B644" s="61">
        <f>IF(F644&lt;&gt;"",1+MAX($B$21:B643),"")</f>
        <v>388</v>
      </c>
      <c r="C644" s="196"/>
      <c r="D644" s="73" t="s">
        <v>538</v>
      </c>
      <c r="E644" s="14" t="s">
        <v>79</v>
      </c>
      <c r="F644" s="19">
        <v>1</v>
      </c>
      <c r="G644" s="205"/>
      <c r="H644" s="205">
        <f t="shared" si="214"/>
        <v>0</v>
      </c>
      <c r="I644" s="205">
        <f t="shared" si="222"/>
        <v>0</v>
      </c>
      <c r="J644" s="49">
        <v>0.5</v>
      </c>
      <c r="K644" s="50">
        <f t="shared" si="223"/>
        <v>0.5</v>
      </c>
      <c r="L644" s="50" t="s">
        <v>1045</v>
      </c>
      <c r="M644" s="48">
        <v>42.1</v>
      </c>
      <c r="N644" s="48">
        <f t="shared" si="217"/>
        <v>30.775100000000002</v>
      </c>
      <c r="O644" s="48">
        <f t="shared" si="224"/>
        <v>15.387550000000001</v>
      </c>
      <c r="P644" s="48">
        <f t="shared" si="225"/>
        <v>15.387550000000001</v>
      </c>
      <c r="Q644" s="48">
        <f t="shared" si="220"/>
        <v>15.387550000000001</v>
      </c>
      <c r="R644" s="41">
        <f t="shared" si="221"/>
        <v>21.95803385</v>
      </c>
    </row>
    <row r="645" spans="2:18" ht="25.5" x14ac:dyDescent="0.2">
      <c r="B645" s="61">
        <f>IF(F645&lt;&gt;"",1+MAX($B$21:B644),"")</f>
        <v>389</v>
      </c>
      <c r="C645" s="196"/>
      <c r="D645" s="73" t="s">
        <v>539</v>
      </c>
      <c r="E645" s="14" t="s">
        <v>79</v>
      </c>
      <c r="F645" s="19">
        <v>1</v>
      </c>
      <c r="G645" s="205"/>
      <c r="H645" s="205">
        <f t="shared" si="214"/>
        <v>0</v>
      </c>
      <c r="I645" s="205">
        <f t="shared" si="222"/>
        <v>0</v>
      </c>
      <c r="J645" s="49">
        <v>0.2</v>
      </c>
      <c r="K645" s="50">
        <f t="shared" si="223"/>
        <v>0.2</v>
      </c>
      <c r="L645" s="50" t="s">
        <v>1073</v>
      </c>
      <c r="M645" s="48">
        <v>42.1</v>
      </c>
      <c r="N645" s="48">
        <f t="shared" si="217"/>
        <v>30.775100000000002</v>
      </c>
      <c r="O645" s="48">
        <f t="shared" si="224"/>
        <v>6.1550200000000004</v>
      </c>
      <c r="P645" s="48">
        <f t="shared" si="225"/>
        <v>6.1550200000000004</v>
      </c>
      <c r="Q645" s="48">
        <f t="shared" si="220"/>
        <v>6.1550200000000004</v>
      </c>
      <c r="R645" s="41">
        <f t="shared" si="221"/>
        <v>8.783213540000002</v>
      </c>
    </row>
    <row r="646" spans="2:18" ht="25.5" x14ac:dyDescent="0.2">
      <c r="B646" s="61">
        <f>IF(F646&lt;&gt;"",1+MAX($B$21:B645),"")</f>
        <v>390</v>
      </c>
      <c r="C646" s="196"/>
      <c r="D646" s="73" t="s">
        <v>540</v>
      </c>
      <c r="E646" s="14" t="s">
        <v>79</v>
      </c>
      <c r="F646" s="19">
        <v>1</v>
      </c>
      <c r="G646" s="205"/>
      <c r="H646" s="205">
        <f t="shared" si="214"/>
        <v>0</v>
      </c>
      <c r="I646" s="205">
        <f t="shared" si="222"/>
        <v>0</v>
      </c>
      <c r="J646" s="49">
        <v>0.35</v>
      </c>
      <c r="K646" s="50">
        <f t="shared" si="223"/>
        <v>0.35</v>
      </c>
      <c r="L646" s="50" t="s">
        <v>1073</v>
      </c>
      <c r="M646" s="48">
        <v>42.1</v>
      </c>
      <c r="N646" s="48">
        <f t="shared" si="217"/>
        <v>30.775100000000002</v>
      </c>
      <c r="O646" s="48">
        <f t="shared" si="224"/>
        <v>10.771285000000001</v>
      </c>
      <c r="P646" s="48">
        <f t="shared" si="225"/>
        <v>10.771285000000001</v>
      </c>
      <c r="Q646" s="48">
        <f t="shared" si="220"/>
        <v>10.771285000000001</v>
      </c>
      <c r="R646" s="41">
        <f t="shared" si="221"/>
        <v>15.370623695000001</v>
      </c>
    </row>
    <row r="647" spans="2:18" ht="25.5" x14ac:dyDescent="0.2">
      <c r="B647" s="61">
        <f>IF(F647&lt;&gt;"",1+MAX($B$21:B646),"")</f>
        <v>391</v>
      </c>
      <c r="C647" s="196"/>
      <c r="D647" s="73" t="s">
        <v>541</v>
      </c>
      <c r="E647" s="14" t="s">
        <v>79</v>
      </c>
      <c r="F647" s="19">
        <v>1</v>
      </c>
      <c r="G647" s="205"/>
      <c r="H647" s="205">
        <f t="shared" si="214"/>
        <v>0</v>
      </c>
      <c r="I647" s="205">
        <f t="shared" si="222"/>
        <v>0</v>
      </c>
      <c r="J647" s="49">
        <v>0.4</v>
      </c>
      <c r="K647" s="50">
        <f t="shared" si="223"/>
        <v>0.4</v>
      </c>
      <c r="L647" s="50" t="s">
        <v>1073</v>
      </c>
      <c r="M647" s="48">
        <v>42.1</v>
      </c>
      <c r="N647" s="48">
        <f t="shared" si="217"/>
        <v>30.775100000000002</v>
      </c>
      <c r="O647" s="48">
        <f t="shared" si="224"/>
        <v>12.310040000000001</v>
      </c>
      <c r="P647" s="48">
        <f t="shared" si="225"/>
        <v>12.310040000000001</v>
      </c>
      <c r="Q647" s="48">
        <f t="shared" si="220"/>
        <v>12.310040000000001</v>
      </c>
      <c r="R647" s="41">
        <f t="shared" si="221"/>
        <v>17.566427080000004</v>
      </c>
    </row>
    <row r="648" spans="2:18" ht="25.5" x14ac:dyDescent="0.2">
      <c r="B648" s="61">
        <f>IF(F648&lt;&gt;"",1+MAX($B$21:B647),"")</f>
        <v>392</v>
      </c>
      <c r="C648" s="196"/>
      <c r="D648" s="73" t="s">
        <v>542</v>
      </c>
      <c r="E648" s="14" t="s">
        <v>79</v>
      </c>
      <c r="F648" s="19">
        <v>1</v>
      </c>
      <c r="G648" s="205"/>
      <c r="H648" s="205">
        <f t="shared" si="214"/>
        <v>0</v>
      </c>
      <c r="I648" s="205">
        <f t="shared" si="222"/>
        <v>0</v>
      </c>
      <c r="J648" s="49">
        <v>0.6</v>
      </c>
      <c r="K648" s="50">
        <f t="shared" si="223"/>
        <v>0.6</v>
      </c>
      <c r="L648" s="50" t="s">
        <v>1073</v>
      </c>
      <c r="M648" s="48">
        <v>42.1</v>
      </c>
      <c r="N648" s="48">
        <f t="shared" si="217"/>
        <v>30.775100000000002</v>
      </c>
      <c r="O648" s="48">
        <f t="shared" si="224"/>
        <v>18.465060000000001</v>
      </c>
      <c r="P648" s="48">
        <f t="shared" si="225"/>
        <v>18.465060000000001</v>
      </c>
      <c r="Q648" s="48">
        <f t="shared" si="220"/>
        <v>18.465060000000001</v>
      </c>
      <c r="R648" s="41">
        <f t="shared" si="221"/>
        <v>26.349640620000002</v>
      </c>
    </row>
    <row r="649" spans="2:18" ht="25.5" x14ac:dyDescent="0.2">
      <c r="B649" s="61">
        <f>IF(F649&lt;&gt;"",1+MAX($B$21:B648),"")</f>
        <v>393</v>
      </c>
      <c r="C649" s="196"/>
      <c r="D649" s="73" t="s">
        <v>543</v>
      </c>
      <c r="E649" s="14" t="s">
        <v>79</v>
      </c>
      <c r="F649" s="19">
        <v>1</v>
      </c>
      <c r="G649" s="205"/>
      <c r="H649" s="205">
        <f t="shared" si="214"/>
        <v>0</v>
      </c>
      <c r="I649" s="205">
        <f t="shared" si="222"/>
        <v>0</v>
      </c>
      <c r="J649" s="49">
        <v>0.3</v>
      </c>
      <c r="K649" s="50">
        <f t="shared" si="223"/>
        <v>0.3</v>
      </c>
      <c r="L649" s="50" t="s">
        <v>1073</v>
      </c>
      <c r="M649" s="48">
        <v>42.1</v>
      </c>
      <c r="N649" s="48">
        <f t="shared" si="217"/>
        <v>30.775100000000002</v>
      </c>
      <c r="O649" s="48">
        <f t="shared" si="224"/>
        <v>9.2325300000000006</v>
      </c>
      <c r="P649" s="48">
        <f t="shared" si="225"/>
        <v>9.2325300000000006</v>
      </c>
      <c r="Q649" s="48">
        <f t="shared" si="220"/>
        <v>9.2325300000000006</v>
      </c>
      <c r="R649" s="41">
        <f t="shared" si="221"/>
        <v>13.174820310000001</v>
      </c>
    </row>
    <row r="650" spans="2:18" ht="25.5" x14ac:dyDescent="0.2">
      <c r="B650" s="61">
        <f>IF(F650&lt;&gt;"",1+MAX($B$21:B649),"")</f>
        <v>394</v>
      </c>
      <c r="C650" s="196"/>
      <c r="D650" s="73" t="s">
        <v>544</v>
      </c>
      <c r="E650" s="14" t="s">
        <v>79</v>
      </c>
      <c r="F650" s="19">
        <v>1</v>
      </c>
      <c r="G650" s="205"/>
      <c r="H650" s="205">
        <f t="shared" si="214"/>
        <v>0</v>
      </c>
      <c r="I650" s="205">
        <f t="shared" si="222"/>
        <v>0</v>
      </c>
      <c r="J650" s="49">
        <v>0.5</v>
      </c>
      <c r="K650" s="50">
        <f t="shared" si="223"/>
        <v>0.5</v>
      </c>
      <c r="L650" s="50" t="s">
        <v>1073</v>
      </c>
      <c r="M650" s="48">
        <v>42.1</v>
      </c>
      <c r="N650" s="48">
        <f t="shared" si="217"/>
        <v>30.775100000000002</v>
      </c>
      <c r="O650" s="48">
        <f t="shared" si="224"/>
        <v>15.387550000000001</v>
      </c>
      <c r="P650" s="48">
        <f t="shared" si="225"/>
        <v>15.387550000000001</v>
      </c>
      <c r="Q650" s="48">
        <f t="shared" si="220"/>
        <v>15.387550000000001</v>
      </c>
      <c r="R650" s="41">
        <f t="shared" si="221"/>
        <v>21.95803385</v>
      </c>
    </row>
    <row r="651" spans="2:18" ht="25.5" x14ac:dyDescent="0.2">
      <c r="B651" s="61">
        <f>IF(F651&lt;&gt;"",1+MAX($B$21:B650),"")</f>
        <v>395</v>
      </c>
      <c r="C651" s="196"/>
      <c r="D651" s="73" t="s">
        <v>545</v>
      </c>
      <c r="E651" s="14" t="s">
        <v>79</v>
      </c>
      <c r="F651" s="19">
        <v>1</v>
      </c>
      <c r="G651" s="205"/>
      <c r="H651" s="205">
        <f t="shared" si="214"/>
        <v>0</v>
      </c>
      <c r="I651" s="205">
        <f t="shared" si="222"/>
        <v>0</v>
      </c>
      <c r="J651" s="49">
        <v>1</v>
      </c>
      <c r="K651" s="50">
        <f t="shared" si="223"/>
        <v>1</v>
      </c>
      <c r="L651" s="50" t="s">
        <v>1073</v>
      </c>
      <c r="M651" s="48">
        <v>42.1</v>
      </c>
      <c r="N651" s="48">
        <f t="shared" si="217"/>
        <v>30.775100000000002</v>
      </c>
      <c r="O651" s="48">
        <f t="shared" si="224"/>
        <v>30.775100000000002</v>
      </c>
      <c r="P651" s="48">
        <f t="shared" si="225"/>
        <v>30.775100000000002</v>
      </c>
      <c r="Q651" s="48">
        <f t="shared" si="220"/>
        <v>30.775100000000002</v>
      </c>
      <c r="R651" s="41">
        <f t="shared" si="221"/>
        <v>43.916067699999999</v>
      </c>
    </row>
    <row r="652" spans="2:18" ht="25.5" x14ac:dyDescent="0.2">
      <c r="B652" s="61">
        <f>IF(F652&lt;&gt;"",1+MAX($B$21:B651),"")</f>
        <v>396</v>
      </c>
      <c r="C652" s="196"/>
      <c r="D652" s="73" t="s">
        <v>546</v>
      </c>
      <c r="E652" s="14" t="s">
        <v>79</v>
      </c>
      <c r="F652" s="19">
        <v>1</v>
      </c>
      <c r="G652" s="205"/>
      <c r="H652" s="205">
        <f t="shared" si="214"/>
        <v>0</v>
      </c>
      <c r="I652" s="205">
        <f t="shared" si="222"/>
        <v>0</v>
      </c>
      <c r="J652" s="49">
        <v>1.25</v>
      </c>
      <c r="K652" s="50">
        <f t="shared" si="223"/>
        <v>1.25</v>
      </c>
      <c r="L652" s="50" t="s">
        <v>1073</v>
      </c>
      <c r="M652" s="48">
        <v>42.1</v>
      </c>
      <c r="N652" s="48">
        <f t="shared" si="217"/>
        <v>30.775100000000002</v>
      </c>
      <c r="O652" s="48">
        <f t="shared" si="224"/>
        <v>38.468875000000004</v>
      </c>
      <c r="P652" s="48">
        <f t="shared" si="225"/>
        <v>38.468875000000004</v>
      </c>
      <c r="Q652" s="48">
        <f t="shared" si="220"/>
        <v>38.468875000000004</v>
      </c>
      <c r="R652" s="41">
        <f t="shared" si="221"/>
        <v>54.895084625000003</v>
      </c>
    </row>
    <row r="653" spans="2:18" ht="25.5" x14ac:dyDescent="0.2">
      <c r="B653" s="61">
        <f>IF(F653&lt;&gt;"",1+MAX($B$21:B652),"")</f>
        <v>397</v>
      </c>
      <c r="C653" s="196"/>
      <c r="D653" s="73" t="s">
        <v>547</v>
      </c>
      <c r="E653" s="14" t="s">
        <v>79</v>
      </c>
      <c r="F653" s="19">
        <v>1</v>
      </c>
      <c r="G653" s="205"/>
      <c r="H653" s="205">
        <f t="shared" si="214"/>
        <v>0</v>
      </c>
      <c r="I653" s="205">
        <f t="shared" si="222"/>
        <v>0</v>
      </c>
      <c r="J653" s="49">
        <v>1.5</v>
      </c>
      <c r="K653" s="50">
        <f t="shared" si="223"/>
        <v>1.5</v>
      </c>
      <c r="L653" s="50" t="s">
        <v>1073</v>
      </c>
      <c r="M653" s="48">
        <v>42.1</v>
      </c>
      <c r="N653" s="48">
        <f t="shared" si="217"/>
        <v>30.775100000000002</v>
      </c>
      <c r="O653" s="48">
        <f t="shared" si="224"/>
        <v>46.162649999999999</v>
      </c>
      <c r="P653" s="48">
        <f t="shared" si="225"/>
        <v>46.162649999999999</v>
      </c>
      <c r="Q653" s="48">
        <f t="shared" si="220"/>
        <v>46.162649999999999</v>
      </c>
      <c r="R653" s="41">
        <f t="shared" si="221"/>
        <v>65.874101549999992</v>
      </c>
    </row>
    <row r="654" spans="2:18" ht="25.5" x14ac:dyDescent="0.2">
      <c r="B654" s="61">
        <f>IF(F654&lt;&gt;"",1+MAX($B$21:B653),"")</f>
        <v>398</v>
      </c>
      <c r="C654" s="196"/>
      <c r="D654" s="73" t="s">
        <v>548</v>
      </c>
      <c r="E654" s="14" t="s">
        <v>79</v>
      </c>
      <c r="F654" s="19">
        <v>1</v>
      </c>
      <c r="G654" s="205"/>
      <c r="H654" s="205">
        <f t="shared" ref="H654:H658" si="226">G654*$T$2</f>
        <v>0</v>
      </c>
      <c r="I654" s="205">
        <f t="shared" si="222"/>
        <v>0</v>
      </c>
      <c r="J654" s="49">
        <v>2</v>
      </c>
      <c r="K654" s="50">
        <f t="shared" si="223"/>
        <v>2</v>
      </c>
      <c r="L654" s="50" t="s">
        <v>1073</v>
      </c>
      <c r="M654" s="48">
        <v>42.1</v>
      </c>
      <c r="N654" s="48">
        <f t="shared" ref="N654:N658" si="227">M654*$U$2</f>
        <v>30.775100000000002</v>
      </c>
      <c r="O654" s="48">
        <f t="shared" si="224"/>
        <v>61.550200000000004</v>
      </c>
      <c r="P654" s="48">
        <f t="shared" si="225"/>
        <v>61.550200000000004</v>
      </c>
      <c r="Q654" s="48">
        <f t="shared" ref="Q654:Q659" si="228">I654+P654</f>
        <v>61.550200000000004</v>
      </c>
      <c r="R654" s="41">
        <f t="shared" ref="R654:R659" si="229">Q654+(I654*$Q$7)+(P654*$Q$8)+(Q654*$Q$9)+(Q654*$Q$11)+($Q$10*(Q654+(I654*$Q$7)+(P654*$Q$8)+(Q654*$Q$9)))</f>
        <v>87.832135399999999</v>
      </c>
    </row>
    <row r="655" spans="2:18" ht="25.5" x14ac:dyDescent="0.2">
      <c r="B655" s="61">
        <f>IF(F655&lt;&gt;"",1+MAX($B$21:B654),"")</f>
        <v>399</v>
      </c>
      <c r="C655" s="196"/>
      <c r="D655" s="73" t="s">
        <v>549</v>
      </c>
      <c r="E655" s="14" t="s">
        <v>79</v>
      </c>
      <c r="F655" s="19">
        <v>1</v>
      </c>
      <c r="G655" s="205"/>
      <c r="H655" s="205">
        <f t="shared" si="226"/>
        <v>0</v>
      </c>
      <c r="I655" s="205">
        <f t="shared" si="222"/>
        <v>0</v>
      </c>
      <c r="J655" s="49">
        <v>0.25</v>
      </c>
      <c r="K655" s="50">
        <f t="shared" si="223"/>
        <v>0.25</v>
      </c>
      <c r="L655" s="50" t="s">
        <v>1073</v>
      </c>
      <c r="M655" s="48">
        <v>42.1</v>
      </c>
      <c r="N655" s="48">
        <f t="shared" si="227"/>
        <v>30.775100000000002</v>
      </c>
      <c r="O655" s="48">
        <f t="shared" si="224"/>
        <v>7.6937750000000005</v>
      </c>
      <c r="P655" s="48">
        <f t="shared" si="225"/>
        <v>7.6937750000000005</v>
      </c>
      <c r="Q655" s="48">
        <f t="shared" si="228"/>
        <v>7.6937750000000005</v>
      </c>
      <c r="R655" s="41">
        <f t="shared" si="229"/>
        <v>10.979016925</v>
      </c>
    </row>
    <row r="656" spans="2:18" ht="25.5" x14ac:dyDescent="0.2">
      <c r="B656" s="61">
        <f>IF(F656&lt;&gt;"",1+MAX($B$21:B655),"")</f>
        <v>400</v>
      </c>
      <c r="C656" s="196"/>
      <c r="D656" s="73" t="s">
        <v>550</v>
      </c>
      <c r="E656" s="14" t="s">
        <v>79</v>
      </c>
      <c r="F656" s="19">
        <v>1</v>
      </c>
      <c r="G656" s="205"/>
      <c r="H656" s="205">
        <f t="shared" si="226"/>
        <v>0</v>
      </c>
      <c r="I656" s="205">
        <f t="shared" si="222"/>
        <v>0</v>
      </c>
      <c r="J656" s="49">
        <v>0.35</v>
      </c>
      <c r="K656" s="50">
        <f t="shared" si="223"/>
        <v>0.35</v>
      </c>
      <c r="L656" s="50" t="s">
        <v>1045</v>
      </c>
      <c r="M656" s="48">
        <v>42.1</v>
      </c>
      <c r="N656" s="48">
        <f t="shared" si="227"/>
        <v>30.775100000000002</v>
      </c>
      <c r="O656" s="48">
        <f t="shared" si="224"/>
        <v>10.771285000000001</v>
      </c>
      <c r="P656" s="48">
        <f t="shared" si="225"/>
        <v>10.771285000000001</v>
      </c>
      <c r="Q656" s="48">
        <f t="shared" si="228"/>
        <v>10.771285000000001</v>
      </c>
      <c r="R656" s="41">
        <f t="shared" si="229"/>
        <v>15.370623695000001</v>
      </c>
    </row>
    <row r="657" spans="2:19" ht="25.5" x14ac:dyDescent="0.2">
      <c r="B657" s="61">
        <f>IF(F657&lt;&gt;"",1+MAX($B$21:B656),"")</f>
        <v>401</v>
      </c>
      <c r="C657" s="196"/>
      <c r="D657" s="73" t="s">
        <v>551</v>
      </c>
      <c r="E657" s="14" t="s">
        <v>79</v>
      </c>
      <c r="F657" s="19">
        <v>1</v>
      </c>
      <c r="G657" s="205"/>
      <c r="H657" s="205">
        <f t="shared" si="226"/>
        <v>0</v>
      </c>
      <c r="I657" s="205">
        <f t="shared" si="222"/>
        <v>0</v>
      </c>
      <c r="J657" s="49">
        <v>0.75</v>
      </c>
      <c r="K657" s="50">
        <f t="shared" si="223"/>
        <v>0.75</v>
      </c>
      <c r="L657" s="50" t="s">
        <v>1073</v>
      </c>
      <c r="M657" s="48">
        <v>42.1</v>
      </c>
      <c r="N657" s="48">
        <f t="shared" si="227"/>
        <v>30.775100000000002</v>
      </c>
      <c r="O657" s="48">
        <f t="shared" si="224"/>
        <v>23.081325</v>
      </c>
      <c r="P657" s="48">
        <f t="shared" si="225"/>
        <v>23.081325</v>
      </c>
      <c r="Q657" s="48">
        <f t="shared" si="228"/>
        <v>23.081325</v>
      </c>
      <c r="R657" s="41">
        <f t="shared" si="229"/>
        <v>32.937050774999996</v>
      </c>
    </row>
    <row r="658" spans="2:19" ht="25.5" x14ac:dyDescent="0.2">
      <c r="B658" s="61">
        <f>IF(F658&lt;&gt;"",1+MAX($B$21:B657),"")</f>
        <v>402</v>
      </c>
      <c r="C658" s="197"/>
      <c r="D658" s="73" t="s">
        <v>552</v>
      </c>
      <c r="E658" s="14" t="s">
        <v>79</v>
      </c>
      <c r="F658" s="19">
        <v>1</v>
      </c>
      <c r="G658" s="205"/>
      <c r="H658" s="205">
        <f t="shared" si="226"/>
        <v>0</v>
      </c>
      <c r="I658" s="205">
        <f t="shared" si="222"/>
        <v>0</v>
      </c>
      <c r="J658" s="49">
        <v>1</v>
      </c>
      <c r="K658" s="50">
        <f t="shared" si="223"/>
        <v>1</v>
      </c>
      <c r="L658" s="50" t="s">
        <v>1073</v>
      </c>
      <c r="M658" s="48">
        <v>42.1</v>
      </c>
      <c r="N658" s="48">
        <f t="shared" si="227"/>
        <v>30.775100000000002</v>
      </c>
      <c r="O658" s="48">
        <f t="shared" si="224"/>
        <v>30.775100000000002</v>
      </c>
      <c r="P658" s="48">
        <f t="shared" si="225"/>
        <v>30.775100000000002</v>
      </c>
      <c r="Q658" s="48">
        <f t="shared" si="228"/>
        <v>30.775100000000002</v>
      </c>
      <c r="R658" s="41">
        <f t="shared" si="229"/>
        <v>43.916067699999999</v>
      </c>
    </row>
    <row r="659" spans="2:19" ht="13.5" thickBot="1" x14ac:dyDescent="0.25">
      <c r="B659" s="61" t="str">
        <f>IF(F659&lt;&gt;"",1+MAX($B$21:B658),"")</f>
        <v/>
      </c>
      <c r="C659" s="67"/>
      <c r="D659" s="73"/>
      <c r="E659" s="14"/>
      <c r="F659" s="19"/>
      <c r="G659" s="48"/>
      <c r="H659" s="48">
        <f t="shared" ref="H659" si="230">G659*$T$2</f>
        <v>0</v>
      </c>
      <c r="I659" s="48">
        <f t="shared" ref="I659" si="231">F659*H659</f>
        <v>0</v>
      </c>
      <c r="J659" s="49"/>
      <c r="K659" s="50">
        <f t="shared" ref="K659" si="232">F659*J659</f>
        <v>0</v>
      </c>
      <c r="L659" s="50"/>
      <c r="M659" s="48"/>
      <c r="N659" s="48">
        <f t="shared" ref="N659" si="233">M659*$U$2</f>
        <v>0</v>
      </c>
      <c r="O659" s="48">
        <f t="shared" ref="O659" si="234">J659*N659</f>
        <v>0</v>
      </c>
      <c r="P659" s="48">
        <f t="shared" ref="P659" si="235">F659*O659</f>
        <v>0</v>
      </c>
      <c r="Q659" s="48">
        <f t="shared" si="228"/>
        <v>0</v>
      </c>
      <c r="R659" s="41">
        <f t="shared" si="229"/>
        <v>0</v>
      </c>
    </row>
    <row r="660" spans="2:19" s="9" customFormat="1" ht="26.25" thickBot="1" x14ac:dyDescent="0.25">
      <c r="B660" s="59" t="str">
        <f>IF(F660&lt;&gt;"",1+MAX($B$21:B659),"")</f>
        <v/>
      </c>
      <c r="C660" s="65" t="s">
        <v>51</v>
      </c>
      <c r="D660" s="72" t="s">
        <v>21</v>
      </c>
      <c r="E660" s="51"/>
      <c r="F660" s="51"/>
      <c r="G660" s="51"/>
      <c r="H660" s="52" t="s">
        <v>61</v>
      </c>
      <c r="I660" s="53">
        <f>SUM(I661:I738)</f>
        <v>35615.997233599985</v>
      </c>
      <c r="J660" s="54"/>
      <c r="K660" s="55" t="str">
        <f>ROUND(SUM(K661:K738),0) &amp; " " &amp; "HRS"</f>
        <v>381 HRS</v>
      </c>
      <c r="L660" s="56"/>
      <c r="M660" s="56"/>
      <c r="N660" s="56"/>
      <c r="O660" s="52" t="s">
        <v>62</v>
      </c>
      <c r="P660" s="53">
        <f>SUM(P661:P738)</f>
        <v>16583.535410642995</v>
      </c>
      <c r="Q660" s="57">
        <f>SUM(Q661:Q738)</f>
        <v>52199.532644243001</v>
      </c>
      <c r="R660" s="58">
        <f>(Q660)+(I660*$Q$7)+(P660*$Q$8)+(Q660*$Q$9)+($Q$10*((Q660)+(I660*$Q$7)+(P660*$Q$8)+(Q660*$Q$9)))+(Q660*$Q$11)</f>
        <v>73398.883567986602</v>
      </c>
    </row>
    <row r="661" spans="2:19" x14ac:dyDescent="0.2">
      <c r="B661" s="61" t="str">
        <f>IF(F661&lt;&gt;"",1+MAX($B$21:B660),"")</f>
        <v/>
      </c>
      <c r="C661" s="67"/>
      <c r="D661" s="73"/>
      <c r="E661" s="14"/>
      <c r="F661" s="19"/>
      <c r="G661" s="48"/>
      <c r="H661" s="48">
        <f t="shared" ref="H661:H724" si="236">G661*$T$2</f>
        <v>0</v>
      </c>
      <c r="I661" s="48">
        <f t="shared" ref="I661:I724" si="237">F661*H661</f>
        <v>0</v>
      </c>
      <c r="J661" s="49"/>
      <c r="K661" s="50">
        <f t="shared" ref="K661:K724" si="238">F661*J661</f>
        <v>0</v>
      </c>
      <c r="L661" s="50"/>
      <c r="M661" s="48"/>
      <c r="N661" s="48">
        <f t="shared" ref="N661:N724" si="239">M661*$U$2</f>
        <v>0</v>
      </c>
      <c r="O661" s="48">
        <f t="shared" ref="O661:O724" si="240">J661*N661</f>
        <v>0</v>
      </c>
      <c r="P661" s="48">
        <f t="shared" ref="P661:P724" si="241">F661*O661</f>
        <v>0</v>
      </c>
      <c r="Q661" s="48">
        <f t="shared" ref="Q661:Q724" si="242">I661+P661</f>
        <v>0</v>
      </c>
      <c r="R661" s="41">
        <f t="shared" ref="R661:R724" si="243">Q661+(I661*$Q$7)+(P661*$Q$8)+(Q661*$Q$9)+(Q661*$Q$11)+($Q$10*(Q661+(I661*$Q$7)+(P661*$Q$8)+(Q661*$Q$9)))</f>
        <v>0</v>
      </c>
      <c r="S661" s="9"/>
    </row>
    <row r="662" spans="2:19" x14ac:dyDescent="0.2">
      <c r="B662" s="62" t="str">
        <f>IF(F662&lt;&gt;"",1+MAX($B$21:B661),"")</f>
        <v/>
      </c>
      <c r="C662" s="68"/>
      <c r="D662" s="74" t="s">
        <v>135</v>
      </c>
      <c r="E662" s="14"/>
      <c r="F662" s="19"/>
      <c r="G662" s="48"/>
      <c r="H662" s="48">
        <f t="shared" si="236"/>
        <v>0</v>
      </c>
      <c r="I662" s="48">
        <f t="shared" si="237"/>
        <v>0</v>
      </c>
      <c r="J662" s="49"/>
      <c r="K662" s="50">
        <f t="shared" si="238"/>
        <v>0</v>
      </c>
      <c r="L662" s="50"/>
      <c r="M662" s="48"/>
      <c r="N662" s="48">
        <f t="shared" si="239"/>
        <v>0</v>
      </c>
      <c r="O662" s="48">
        <f t="shared" si="240"/>
        <v>0</v>
      </c>
      <c r="P662" s="48">
        <f t="shared" si="241"/>
        <v>0</v>
      </c>
      <c r="Q662" s="48">
        <f t="shared" si="242"/>
        <v>0</v>
      </c>
      <c r="R662" s="41">
        <f t="shared" si="243"/>
        <v>0</v>
      </c>
    </row>
    <row r="663" spans="2:19" ht="25.5" x14ac:dyDescent="0.2">
      <c r="B663" s="61">
        <f>IF(F663&lt;&gt;"",1+MAX($B$21:B662),"")</f>
        <v>403</v>
      </c>
      <c r="C663" s="67"/>
      <c r="D663" s="73" t="s">
        <v>673</v>
      </c>
      <c r="E663" s="14" t="s">
        <v>60</v>
      </c>
      <c r="F663" s="19">
        <v>1</v>
      </c>
      <c r="G663" s="48">
        <v>1499.25</v>
      </c>
      <c r="H663" s="48">
        <f t="shared" si="236"/>
        <v>1427.2859999999998</v>
      </c>
      <c r="I663" s="48">
        <f t="shared" si="237"/>
        <v>1427.2859999999998</v>
      </c>
      <c r="J663" s="49">
        <v>39</v>
      </c>
      <c r="K663" s="50">
        <f t="shared" si="238"/>
        <v>39</v>
      </c>
      <c r="L663" s="50" t="s">
        <v>1074</v>
      </c>
      <c r="M663" s="48">
        <v>58</v>
      </c>
      <c r="N663" s="48">
        <f t="shared" si="239"/>
        <v>42.397999999999996</v>
      </c>
      <c r="O663" s="48">
        <f t="shared" si="240"/>
        <v>1653.5219999999999</v>
      </c>
      <c r="P663" s="48">
        <f t="shared" si="241"/>
        <v>1653.5219999999999</v>
      </c>
      <c r="Q663" s="48">
        <f t="shared" si="242"/>
        <v>3080.808</v>
      </c>
      <c r="R663" s="41">
        <f t="shared" si="243"/>
        <v>4352.6380644000001</v>
      </c>
    </row>
    <row r="664" spans="2:19" x14ac:dyDescent="0.2">
      <c r="B664" s="61" t="str">
        <f>IF(F664&lt;&gt;"",1+MAX($B$21:B663),"")</f>
        <v/>
      </c>
      <c r="C664" s="67"/>
      <c r="D664" s="73"/>
      <c r="E664" s="14"/>
      <c r="F664" s="19"/>
      <c r="G664" s="48"/>
      <c r="H664" s="48">
        <f t="shared" si="236"/>
        <v>0</v>
      </c>
      <c r="I664" s="48">
        <f t="shared" si="237"/>
        <v>0</v>
      </c>
      <c r="J664" s="49"/>
      <c r="K664" s="50">
        <f t="shared" si="238"/>
        <v>0</v>
      </c>
      <c r="L664" s="50"/>
      <c r="M664" s="48"/>
      <c r="N664" s="48">
        <f t="shared" si="239"/>
        <v>0</v>
      </c>
      <c r="O664" s="48">
        <f t="shared" si="240"/>
        <v>0</v>
      </c>
      <c r="P664" s="48">
        <f t="shared" si="241"/>
        <v>0</v>
      </c>
      <c r="Q664" s="48">
        <f t="shared" si="242"/>
        <v>0</v>
      </c>
      <c r="R664" s="41">
        <f t="shared" si="243"/>
        <v>0</v>
      </c>
    </row>
    <row r="665" spans="2:19" x14ac:dyDescent="0.2">
      <c r="B665" s="62" t="str">
        <f>IF(F665&lt;&gt;"",1+MAX($B$21:B664),"")</f>
        <v/>
      </c>
      <c r="C665" s="68"/>
      <c r="D665" s="74" t="s">
        <v>109</v>
      </c>
      <c r="E665" s="14"/>
      <c r="F665" s="19"/>
      <c r="G665" s="48"/>
      <c r="H665" s="48">
        <f t="shared" si="236"/>
        <v>0</v>
      </c>
      <c r="I665" s="48">
        <f t="shared" si="237"/>
        <v>0</v>
      </c>
      <c r="J665" s="49"/>
      <c r="K665" s="50">
        <f t="shared" si="238"/>
        <v>0</v>
      </c>
      <c r="L665" s="50"/>
      <c r="M665" s="48"/>
      <c r="N665" s="48">
        <f t="shared" si="239"/>
        <v>0</v>
      </c>
      <c r="O665" s="48">
        <f t="shared" si="240"/>
        <v>0</v>
      </c>
      <c r="P665" s="48">
        <f t="shared" si="241"/>
        <v>0</v>
      </c>
      <c r="Q665" s="48">
        <f t="shared" si="242"/>
        <v>0</v>
      </c>
      <c r="R665" s="41">
        <f t="shared" si="243"/>
        <v>0</v>
      </c>
    </row>
    <row r="666" spans="2:19" x14ac:dyDescent="0.2">
      <c r="B666" s="61" t="str">
        <f>IF(F666&lt;&gt;"",1+MAX($B$21:B665),"")</f>
        <v/>
      </c>
      <c r="C666" s="67"/>
      <c r="D666" s="73"/>
      <c r="E666" s="14"/>
      <c r="F666" s="19"/>
      <c r="G666" s="48"/>
      <c r="H666" s="48">
        <f t="shared" si="236"/>
        <v>0</v>
      </c>
      <c r="I666" s="48">
        <f t="shared" si="237"/>
        <v>0</v>
      </c>
      <c r="J666" s="49"/>
      <c r="K666" s="50">
        <f t="shared" si="238"/>
        <v>0</v>
      </c>
      <c r="L666" s="50"/>
      <c r="M666" s="48"/>
      <c r="N666" s="48">
        <f t="shared" si="239"/>
        <v>0</v>
      </c>
      <c r="O666" s="48">
        <f t="shared" si="240"/>
        <v>0</v>
      </c>
      <c r="P666" s="48">
        <f t="shared" si="241"/>
        <v>0</v>
      </c>
      <c r="Q666" s="48">
        <f t="shared" si="242"/>
        <v>0</v>
      </c>
      <c r="R666" s="41">
        <f t="shared" si="243"/>
        <v>0</v>
      </c>
    </row>
    <row r="667" spans="2:19" x14ac:dyDescent="0.2">
      <c r="B667" s="61" t="str">
        <f>IF(F667&lt;&gt;"",1+MAX($B$21:B666),"")</f>
        <v/>
      </c>
      <c r="C667" s="195" t="s">
        <v>698</v>
      </c>
      <c r="D667" s="75" t="s">
        <v>645</v>
      </c>
      <c r="E667" s="14"/>
      <c r="F667" s="19"/>
      <c r="G667" s="48"/>
      <c r="H667" s="48">
        <f t="shared" si="236"/>
        <v>0</v>
      </c>
      <c r="I667" s="48">
        <f t="shared" si="237"/>
        <v>0</v>
      </c>
      <c r="J667" s="49"/>
      <c r="K667" s="50">
        <f t="shared" si="238"/>
        <v>0</v>
      </c>
      <c r="L667" s="50"/>
      <c r="M667" s="48"/>
      <c r="N667" s="48">
        <f t="shared" si="239"/>
        <v>0</v>
      </c>
      <c r="O667" s="48">
        <f t="shared" si="240"/>
        <v>0</v>
      </c>
      <c r="P667" s="48">
        <f t="shared" si="241"/>
        <v>0</v>
      </c>
      <c r="Q667" s="48">
        <f t="shared" si="242"/>
        <v>0</v>
      </c>
      <c r="R667" s="41">
        <f t="shared" si="243"/>
        <v>0</v>
      </c>
    </row>
    <row r="668" spans="2:19" x14ac:dyDescent="0.2">
      <c r="B668" s="61">
        <f>IF(F668&lt;&gt;"",1+MAX($B$21:B667),"")</f>
        <v>404</v>
      </c>
      <c r="C668" s="195"/>
      <c r="D668" s="73" t="s">
        <v>646</v>
      </c>
      <c r="E668" s="14" t="s">
        <v>74</v>
      </c>
      <c r="F668" s="19">
        <v>150.59</v>
      </c>
      <c r="G668" s="12">
        <v>10.8</v>
      </c>
      <c r="H668" s="12">
        <f t="shared" si="236"/>
        <v>10.281600000000001</v>
      </c>
      <c r="I668" s="12">
        <f t="shared" si="237"/>
        <v>1548.3061440000001</v>
      </c>
      <c r="J668" s="11">
        <v>0.30199999999999999</v>
      </c>
      <c r="K668" s="7">
        <f t="shared" si="238"/>
        <v>45.478180000000002</v>
      </c>
      <c r="L668" s="28" t="s">
        <v>1074</v>
      </c>
      <c r="M668" s="29">
        <v>58</v>
      </c>
      <c r="N668" s="48">
        <f t="shared" si="239"/>
        <v>42.397999999999996</v>
      </c>
      <c r="O668" s="48">
        <f t="shared" si="240"/>
        <v>12.804195999999999</v>
      </c>
      <c r="P668" s="48">
        <f t="shared" si="241"/>
        <v>1928.18387564</v>
      </c>
      <c r="Q668" s="48">
        <f t="shared" si="242"/>
        <v>3476.4900196400004</v>
      </c>
      <c r="R668" s="41">
        <f t="shared" si="243"/>
        <v>4913.5730900198814</v>
      </c>
    </row>
    <row r="669" spans="2:19" x14ac:dyDescent="0.2">
      <c r="B669" s="61">
        <f>IF(F669&lt;&gt;"",1+MAX($B$21:B668),"")</f>
        <v>405</v>
      </c>
      <c r="C669" s="195"/>
      <c r="D669" s="73" t="s">
        <v>647</v>
      </c>
      <c r="E669" s="14" t="s">
        <v>74</v>
      </c>
      <c r="F669" s="19">
        <v>172.7</v>
      </c>
      <c r="G669" s="12">
        <v>14.25</v>
      </c>
      <c r="H669" s="12">
        <f t="shared" si="236"/>
        <v>13.565999999999999</v>
      </c>
      <c r="I669" s="12">
        <f t="shared" si="237"/>
        <v>2342.8481999999995</v>
      </c>
      <c r="J669" s="11">
        <v>0.33300000000000002</v>
      </c>
      <c r="K669" s="7">
        <f t="shared" si="238"/>
        <v>57.509099999999997</v>
      </c>
      <c r="L669" s="28" t="s">
        <v>1074</v>
      </c>
      <c r="M669" s="29">
        <v>58</v>
      </c>
      <c r="N669" s="48">
        <f t="shared" si="239"/>
        <v>42.397999999999996</v>
      </c>
      <c r="O669" s="48">
        <f t="shared" si="240"/>
        <v>14.118534</v>
      </c>
      <c r="P669" s="48">
        <f t="shared" si="241"/>
        <v>2438.2708217999998</v>
      </c>
      <c r="Q669" s="48">
        <f t="shared" si="242"/>
        <v>4781.1190217999992</v>
      </c>
      <c r="R669" s="41">
        <f t="shared" si="243"/>
        <v>6750.9656891885998</v>
      </c>
    </row>
    <row r="670" spans="2:19" x14ac:dyDescent="0.2">
      <c r="B670" s="61">
        <f>IF(F670&lt;&gt;"",1+MAX($B$21:B669),"")</f>
        <v>406</v>
      </c>
      <c r="C670" s="195"/>
      <c r="D670" s="73" t="s">
        <v>648</v>
      </c>
      <c r="E670" s="14" t="s">
        <v>74</v>
      </c>
      <c r="F670" s="19">
        <v>3.55</v>
      </c>
      <c r="G670" s="12">
        <v>5.5</v>
      </c>
      <c r="H670" s="12">
        <f t="shared" si="236"/>
        <v>5.2359999999999998</v>
      </c>
      <c r="I670" s="12">
        <f t="shared" si="237"/>
        <v>18.587799999999998</v>
      </c>
      <c r="J670" s="11">
        <v>0.22</v>
      </c>
      <c r="K670" s="7">
        <f t="shared" si="238"/>
        <v>0.78099999999999992</v>
      </c>
      <c r="L670" s="28" t="s">
        <v>1076</v>
      </c>
      <c r="M670" s="29">
        <v>64.45</v>
      </c>
      <c r="N670" s="48">
        <f t="shared" si="239"/>
        <v>47.112949999999998</v>
      </c>
      <c r="O670" s="48">
        <f t="shared" si="240"/>
        <v>10.364849</v>
      </c>
      <c r="P670" s="48">
        <f t="shared" si="241"/>
        <v>36.795213949999997</v>
      </c>
      <c r="Q670" s="48">
        <f t="shared" si="242"/>
        <v>55.383013949999992</v>
      </c>
      <c r="R670" s="41">
        <f t="shared" si="243"/>
        <v>78.462774226649984</v>
      </c>
    </row>
    <row r="671" spans="2:19" x14ac:dyDescent="0.2">
      <c r="B671" s="61">
        <f>IF(F671&lt;&gt;"",1+MAX($B$21:B670),"")</f>
        <v>407</v>
      </c>
      <c r="C671" s="195"/>
      <c r="D671" s="73" t="s">
        <v>649</v>
      </c>
      <c r="E671" s="14" t="s">
        <v>74</v>
      </c>
      <c r="F671" s="19">
        <v>86.73</v>
      </c>
      <c r="G671" s="12">
        <v>10.8</v>
      </c>
      <c r="H671" s="12">
        <f t="shared" si="236"/>
        <v>10.281600000000001</v>
      </c>
      <c r="I671" s="12">
        <f t="shared" ref="I671:I675" si="244">F671*H671</f>
        <v>891.7231680000001</v>
      </c>
      <c r="J671" s="11">
        <v>0.30199999999999999</v>
      </c>
      <c r="K671" s="7">
        <f t="shared" ref="K671:K675" si="245">F671*J671</f>
        <v>26.192460000000001</v>
      </c>
      <c r="L671" s="28" t="s">
        <v>1074</v>
      </c>
      <c r="M671" s="29">
        <v>58</v>
      </c>
      <c r="N671" s="48">
        <f t="shared" si="239"/>
        <v>42.397999999999996</v>
      </c>
      <c r="O671" s="48">
        <f t="shared" ref="O671" si="246">J671*N671</f>
        <v>12.804195999999999</v>
      </c>
      <c r="P671" s="48">
        <f t="shared" si="241"/>
        <v>1110.50791908</v>
      </c>
      <c r="Q671" s="48">
        <f t="shared" si="242"/>
        <v>2002.2310870800002</v>
      </c>
      <c r="R671" s="41">
        <f t="shared" si="243"/>
        <v>2829.8970323223602</v>
      </c>
    </row>
    <row r="672" spans="2:19" x14ac:dyDescent="0.2">
      <c r="B672" s="61">
        <f>IF(F672&lt;&gt;"",1+MAX($B$21:B671),"")</f>
        <v>408</v>
      </c>
      <c r="C672" s="195"/>
      <c r="D672" s="73" t="s">
        <v>650</v>
      </c>
      <c r="E672" s="14" t="s">
        <v>74</v>
      </c>
      <c r="F672" s="19">
        <v>21.94</v>
      </c>
      <c r="G672" s="12">
        <v>14.25</v>
      </c>
      <c r="H672" s="12">
        <f t="shared" si="236"/>
        <v>13.565999999999999</v>
      </c>
      <c r="I672" s="12">
        <f t="shared" si="244"/>
        <v>297.63803999999999</v>
      </c>
      <c r="J672" s="11">
        <v>0.33300000000000002</v>
      </c>
      <c r="K672" s="7">
        <f t="shared" si="245"/>
        <v>7.3060200000000011</v>
      </c>
      <c r="L672" s="28" t="s">
        <v>1074</v>
      </c>
      <c r="M672" s="29">
        <v>58</v>
      </c>
      <c r="N672" s="48">
        <f t="shared" si="239"/>
        <v>42.397999999999996</v>
      </c>
      <c r="O672" s="48">
        <f t="shared" si="240"/>
        <v>14.118534</v>
      </c>
      <c r="P672" s="48">
        <f t="shared" si="241"/>
        <v>309.76063596</v>
      </c>
      <c r="Q672" s="48">
        <f t="shared" si="242"/>
        <v>607.39867595999999</v>
      </c>
      <c r="R672" s="41">
        <f t="shared" si="243"/>
        <v>857.65018657092014</v>
      </c>
    </row>
    <row r="673" spans="2:18" x14ac:dyDescent="0.2">
      <c r="B673" s="61">
        <f>IF(F673&lt;&gt;"",1+MAX($B$21:B672),"")</f>
        <v>409</v>
      </c>
      <c r="C673" s="195"/>
      <c r="D673" s="73" t="s">
        <v>651</v>
      </c>
      <c r="E673" s="14" t="s">
        <v>74</v>
      </c>
      <c r="F673" s="19">
        <v>58.18</v>
      </c>
      <c r="G673" s="12">
        <v>6.25</v>
      </c>
      <c r="H673" s="12">
        <f t="shared" si="236"/>
        <v>5.9499999999999993</v>
      </c>
      <c r="I673" s="12">
        <f t="shared" si="244"/>
        <v>346.17099999999994</v>
      </c>
      <c r="J673" s="11">
        <v>0.27100000000000002</v>
      </c>
      <c r="K673" s="7">
        <f t="shared" si="245"/>
        <v>15.766780000000001</v>
      </c>
      <c r="L673" s="28" t="s">
        <v>1074</v>
      </c>
      <c r="M673" s="29">
        <v>58</v>
      </c>
      <c r="N673" s="48">
        <f t="shared" si="239"/>
        <v>42.397999999999996</v>
      </c>
      <c r="O673" s="48">
        <f t="shared" si="240"/>
        <v>11.489858</v>
      </c>
      <c r="P673" s="48">
        <f t="shared" si="241"/>
        <v>668.47993843999996</v>
      </c>
      <c r="Q673" s="48">
        <f t="shared" si="242"/>
        <v>1014.6509384399999</v>
      </c>
      <c r="R673" s="41">
        <f t="shared" si="243"/>
        <v>1437.3140565538799</v>
      </c>
    </row>
    <row r="674" spans="2:18" x14ac:dyDescent="0.2">
      <c r="B674" s="61">
        <f>IF(F674&lt;&gt;"",1+MAX($B$21:B673),"")</f>
        <v>410</v>
      </c>
      <c r="C674" s="195"/>
      <c r="D674" s="73" t="s">
        <v>652</v>
      </c>
      <c r="E674" s="14" t="s">
        <v>74</v>
      </c>
      <c r="F674" s="19">
        <v>12.78</v>
      </c>
      <c r="G674" s="12">
        <v>10.8</v>
      </c>
      <c r="H674" s="12">
        <f t="shared" si="236"/>
        <v>10.281600000000001</v>
      </c>
      <c r="I674" s="12">
        <f t="shared" si="244"/>
        <v>131.39884800000002</v>
      </c>
      <c r="J674" s="11">
        <v>0.30199999999999999</v>
      </c>
      <c r="K674" s="7">
        <f t="shared" si="245"/>
        <v>3.8595599999999997</v>
      </c>
      <c r="L674" s="28" t="s">
        <v>1074</v>
      </c>
      <c r="M674" s="29">
        <v>58</v>
      </c>
      <c r="N674" s="48">
        <f t="shared" si="239"/>
        <v>42.397999999999996</v>
      </c>
      <c r="O674" s="48">
        <f t="shared" si="240"/>
        <v>12.804195999999999</v>
      </c>
      <c r="P674" s="48">
        <f t="shared" si="241"/>
        <v>163.63762487999998</v>
      </c>
      <c r="Q674" s="48">
        <f t="shared" si="242"/>
        <v>295.03647288000002</v>
      </c>
      <c r="R674" s="41">
        <f t="shared" si="243"/>
        <v>416.99624205096006</v>
      </c>
    </row>
    <row r="675" spans="2:18" x14ac:dyDescent="0.2">
      <c r="B675" s="61">
        <f>IF(F675&lt;&gt;"",1+MAX($B$21:B674),"")</f>
        <v>411</v>
      </c>
      <c r="C675" s="195"/>
      <c r="D675" s="73" t="s">
        <v>653</v>
      </c>
      <c r="E675" s="14" t="s">
        <v>74</v>
      </c>
      <c r="F675" s="19">
        <v>47.29</v>
      </c>
      <c r="G675" s="12">
        <v>14.25</v>
      </c>
      <c r="H675" s="12">
        <f t="shared" si="236"/>
        <v>13.565999999999999</v>
      </c>
      <c r="I675" s="12">
        <f t="shared" si="244"/>
        <v>641.53613999999993</v>
      </c>
      <c r="J675" s="11">
        <v>0.33300000000000002</v>
      </c>
      <c r="K675" s="7">
        <f t="shared" si="245"/>
        <v>15.747570000000001</v>
      </c>
      <c r="L675" s="28" t="s">
        <v>1074</v>
      </c>
      <c r="M675" s="29">
        <v>58</v>
      </c>
      <c r="N675" s="48">
        <f t="shared" si="239"/>
        <v>42.397999999999996</v>
      </c>
      <c r="O675" s="48">
        <f t="shared" si="240"/>
        <v>14.118534</v>
      </c>
      <c r="P675" s="48">
        <f t="shared" si="241"/>
        <v>667.66547286000002</v>
      </c>
      <c r="Q675" s="48">
        <f t="shared" si="242"/>
        <v>1309.2016128599998</v>
      </c>
      <c r="R675" s="41">
        <f t="shared" si="243"/>
        <v>1848.59969566722</v>
      </c>
    </row>
    <row r="676" spans="2:18" x14ac:dyDescent="0.2">
      <c r="B676" s="61" t="str">
        <f>IF(F676&lt;&gt;"",1+MAX($B$21:B675),"")</f>
        <v/>
      </c>
      <c r="C676" s="195"/>
      <c r="D676" s="75" t="s">
        <v>671</v>
      </c>
      <c r="E676" s="14"/>
      <c r="F676" s="19"/>
      <c r="G676" s="48"/>
      <c r="H676" s="48">
        <f t="shared" si="236"/>
        <v>0</v>
      </c>
      <c r="I676" s="48">
        <f t="shared" si="237"/>
        <v>0</v>
      </c>
      <c r="J676" s="49"/>
      <c r="K676" s="50">
        <f t="shared" si="238"/>
        <v>0</v>
      </c>
      <c r="L676" s="50"/>
      <c r="M676" s="48"/>
      <c r="N676" s="48">
        <f t="shared" si="239"/>
        <v>0</v>
      </c>
      <c r="O676" s="48">
        <f t="shared" si="240"/>
        <v>0</v>
      </c>
      <c r="P676" s="48">
        <f t="shared" si="241"/>
        <v>0</v>
      </c>
      <c r="Q676" s="48">
        <f t="shared" si="242"/>
        <v>0</v>
      </c>
      <c r="R676" s="41">
        <f t="shared" si="243"/>
        <v>0</v>
      </c>
    </row>
    <row r="677" spans="2:18" x14ac:dyDescent="0.2">
      <c r="B677" s="61" t="str">
        <f>IF(F677&lt;&gt;"",1+MAX($B$21:B676),"")</f>
        <v/>
      </c>
      <c r="C677" s="195"/>
      <c r="D677" s="73"/>
      <c r="E677" s="14"/>
      <c r="F677" s="19"/>
      <c r="G677" s="48"/>
      <c r="H677" s="48">
        <f t="shared" si="236"/>
        <v>0</v>
      </c>
      <c r="I677" s="48">
        <f t="shared" si="237"/>
        <v>0</v>
      </c>
      <c r="J677" s="49"/>
      <c r="K677" s="50">
        <f t="shared" si="238"/>
        <v>0</v>
      </c>
      <c r="L677" s="50"/>
      <c r="M677" s="48"/>
      <c r="N677" s="48">
        <f t="shared" si="239"/>
        <v>0</v>
      </c>
      <c r="O677" s="48">
        <f t="shared" si="240"/>
        <v>0</v>
      </c>
      <c r="P677" s="48">
        <f t="shared" si="241"/>
        <v>0</v>
      </c>
      <c r="Q677" s="48">
        <f t="shared" si="242"/>
        <v>0</v>
      </c>
      <c r="R677" s="41">
        <f t="shared" si="243"/>
        <v>0</v>
      </c>
    </row>
    <row r="678" spans="2:18" x14ac:dyDescent="0.2">
      <c r="B678" s="61" t="str">
        <f>IF(F678&lt;&gt;"",1+MAX($B$21:B677),"")</f>
        <v/>
      </c>
      <c r="C678" s="195"/>
      <c r="D678" s="75" t="s">
        <v>133</v>
      </c>
      <c r="E678" s="14"/>
      <c r="F678" s="19"/>
      <c r="G678" s="48"/>
      <c r="H678" s="48">
        <f t="shared" si="236"/>
        <v>0</v>
      </c>
      <c r="I678" s="48">
        <f t="shared" si="237"/>
        <v>0</v>
      </c>
      <c r="J678" s="49"/>
      <c r="K678" s="50">
        <f t="shared" si="238"/>
        <v>0</v>
      </c>
      <c r="L678" s="50"/>
      <c r="M678" s="48"/>
      <c r="N678" s="48">
        <f t="shared" si="239"/>
        <v>0</v>
      </c>
      <c r="O678" s="48">
        <f t="shared" si="240"/>
        <v>0</v>
      </c>
      <c r="P678" s="48">
        <f t="shared" si="241"/>
        <v>0</v>
      </c>
      <c r="Q678" s="48">
        <f t="shared" si="242"/>
        <v>0</v>
      </c>
      <c r="R678" s="41">
        <f t="shared" si="243"/>
        <v>0</v>
      </c>
    </row>
    <row r="679" spans="2:18" x14ac:dyDescent="0.2">
      <c r="B679" s="61">
        <f>IF(F679&lt;&gt;"",1+MAX($B$21:B678),"")</f>
        <v>412</v>
      </c>
      <c r="C679" s="195"/>
      <c r="D679" s="73" t="s">
        <v>654</v>
      </c>
      <c r="E679" s="14" t="s">
        <v>74</v>
      </c>
      <c r="F679" s="19">
        <v>64.58</v>
      </c>
      <c r="G679" s="12">
        <v>10.55</v>
      </c>
      <c r="H679" s="12">
        <f t="shared" si="236"/>
        <v>10.0436</v>
      </c>
      <c r="I679" s="12">
        <f t="shared" si="237"/>
        <v>648.61568799999998</v>
      </c>
      <c r="J679" s="11">
        <v>0.20599999999999999</v>
      </c>
      <c r="K679" s="7">
        <f t="shared" si="238"/>
        <v>13.303479999999999</v>
      </c>
      <c r="L679" s="28" t="s">
        <v>1076</v>
      </c>
      <c r="M679" s="29">
        <v>64.45</v>
      </c>
      <c r="N679" s="48">
        <f t="shared" si="239"/>
        <v>47.112949999999998</v>
      </c>
      <c r="O679" s="48">
        <f t="shared" si="240"/>
        <v>9.7052676999999985</v>
      </c>
      <c r="P679" s="48">
        <f t="shared" si="241"/>
        <v>626.76618806599993</v>
      </c>
      <c r="Q679" s="48">
        <f t="shared" si="242"/>
        <v>1275.3818760659999</v>
      </c>
      <c r="R679" s="41">
        <f t="shared" si="243"/>
        <v>1800.1222970933816</v>
      </c>
    </row>
    <row r="680" spans="2:18" x14ac:dyDescent="0.2">
      <c r="B680" s="61">
        <f>IF(F680&lt;&gt;"",1+MAX($B$21:B679),"")</f>
        <v>413</v>
      </c>
      <c r="C680" s="195"/>
      <c r="D680" s="73" t="s">
        <v>672</v>
      </c>
      <c r="E680" s="14" t="s">
        <v>74</v>
      </c>
      <c r="F680" s="19">
        <v>15.34</v>
      </c>
      <c r="G680" s="12">
        <v>3.92</v>
      </c>
      <c r="H680" s="12">
        <f t="shared" si="236"/>
        <v>3.7318399999999996</v>
      </c>
      <c r="I680" s="12">
        <f t="shared" si="237"/>
        <v>57.246425599999995</v>
      </c>
      <c r="J680" s="11">
        <v>0.14799999999999999</v>
      </c>
      <c r="K680" s="7">
        <f t="shared" si="238"/>
        <v>2.2703199999999999</v>
      </c>
      <c r="L680" s="28" t="s">
        <v>1076</v>
      </c>
      <c r="M680" s="29">
        <v>64.45</v>
      </c>
      <c r="N680" s="48">
        <f t="shared" si="239"/>
        <v>47.112949999999998</v>
      </c>
      <c r="O680" s="48">
        <f t="shared" si="240"/>
        <v>6.9727165999999992</v>
      </c>
      <c r="P680" s="48">
        <f t="shared" si="241"/>
        <v>106.96147264399998</v>
      </c>
      <c r="Q680" s="48">
        <f t="shared" si="242"/>
        <v>164.20789824399998</v>
      </c>
      <c r="R680" s="41">
        <f t="shared" si="243"/>
        <v>232.57293017082796</v>
      </c>
    </row>
    <row r="681" spans="2:18" x14ac:dyDescent="0.2">
      <c r="B681" s="61">
        <f>IF(F681&lt;&gt;"",1+MAX($B$21:B680),"")</f>
        <v>414</v>
      </c>
      <c r="C681" s="195"/>
      <c r="D681" s="73" t="s">
        <v>655</v>
      </c>
      <c r="E681" s="14" t="s">
        <v>74</v>
      </c>
      <c r="F681" s="19">
        <v>45.52</v>
      </c>
      <c r="G681" s="12">
        <v>7.55</v>
      </c>
      <c r="H681" s="12">
        <f t="shared" si="236"/>
        <v>7.1875999999999998</v>
      </c>
      <c r="I681" s="12">
        <f t="shared" si="237"/>
        <v>327.179552</v>
      </c>
      <c r="J681" s="11">
        <v>0.17599999999999999</v>
      </c>
      <c r="K681" s="7">
        <f t="shared" si="238"/>
        <v>8.0115200000000009</v>
      </c>
      <c r="L681" s="28" t="s">
        <v>1076</v>
      </c>
      <c r="M681" s="29">
        <v>64.45</v>
      </c>
      <c r="N681" s="48">
        <f t="shared" si="239"/>
        <v>47.112949999999998</v>
      </c>
      <c r="O681" s="48">
        <f t="shared" si="240"/>
        <v>8.2918791999999986</v>
      </c>
      <c r="P681" s="48">
        <f t="shared" si="241"/>
        <v>377.44634118399995</v>
      </c>
      <c r="Q681" s="48">
        <f t="shared" si="242"/>
        <v>704.62589318400001</v>
      </c>
      <c r="R681" s="41">
        <f t="shared" si="243"/>
        <v>995.489455282368</v>
      </c>
    </row>
    <row r="682" spans="2:18" x14ac:dyDescent="0.2">
      <c r="B682" s="61">
        <f>IF(F682&lt;&gt;"",1+MAX($B$21:B681),"")</f>
        <v>415</v>
      </c>
      <c r="C682" s="195"/>
      <c r="D682" s="73" t="s">
        <v>656</v>
      </c>
      <c r="E682" s="14" t="s">
        <v>74</v>
      </c>
      <c r="F682" s="19">
        <v>44.44</v>
      </c>
      <c r="G682" s="12">
        <v>5.5</v>
      </c>
      <c r="H682" s="12">
        <f t="shared" si="236"/>
        <v>5.2359999999999998</v>
      </c>
      <c r="I682" s="12">
        <f t="shared" si="237"/>
        <v>232.68783999999997</v>
      </c>
      <c r="J682" s="11">
        <v>0.157</v>
      </c>
      <c r="K682" s="7">
        <f t="shared" si="238"/>
        <v>6.9770799999999999</v>
      </c>
      <c r="L682" s="28" t="s">
        <v>1076</v>
      </c>
      <c r="M682" s="29">
        <v>64.45</v>
      </c>
      <c r="N682" s="48">
        <f t="shared" si="239"/>
        <v>47.112949999999998</v>
      </c>
      <c r="O682" s="48">
        <f t="shared" si="240"/>
        <v>7.3967331499999993</v>
      </c>
      <c r="P682" s="48">
        <f t="shared" si="241"/>
        <v>328.71082118599998</v>
      </c>
      <c r="Q682" s="48">
        <f t="shared" si="242"/>
        <v>561.39866118599991</v>
      </c>
      <c r="R682" s="41">
        <f t="shared" si="243"/>
        <v>793.99564160842192</v>
      </c>
    </row>
    <row r="683" spans="2:18" x14ac:dyDescent="0.2">
      <c r="B683" s="61">
        <f>IF(F683&lt;&gt;"",1+MAX($B$21:B682),"")</f>
        <v>416</v>
      </c>
      <c r="C683" s="195"/>
      <c r="D683" s="73" t="s">
        <v>657</v>
      </c>
      <c r="E683" s="14" t="s">
        <v>74</v>
      </c>
      <c r="F683" s="19">
        <v>162.22</v>
      </c>
      <c r="G683" s="12">
        <v>7.55</v>
      </c>
      <c r="H683" s="12">
        <f t="shared" si="236"/>
        <v>7.1875999999999998</v>
      </c>
      <c r="I683" s="12">
        <f t="shared" si="237"/>
        <v>1165.9724719999999</v>
      </c>
      <c r="J683" s="11">
        <v>0.17599999999999999</v>
      </c>
      <c r="K683" s="7">
        <f t="shared" si="238"/>
        <v>28.550719999999998</v>
      </c>
      <c r="L683" s="28" t="s">
        <v>1076</v>
      </c>
      <c r="M683" s="29">
        <v>64.45</v>
      </c>
      <c r="N683" s="48">
        <f t="shared" si="239"/>
        <v>47.112949999999998</v>
      </c>
      <c r="O683" s="48">
        <f t="shared" si="240"/>
        <v>8.2918791999999986</v>
      </c>
      <c r="P683" s="48">
        <f t="shared" si="241"/>
        <v>1345.1086438239997</v>
      </c>
      <c r="Q683" s="48">
        <f t="shared" si="242"/>
        <v>2511.0811158239994</v>
      </c>
      <c r="R683" s="41">
        <f t="shared" si="243"/>
        <v>3547.6339946376474</v>
      </c>
    </row>
    <row r="684" spans="2:18" x14ac:dyDescent="0.2">
      <c r="B684" s="61" t="str">
        <f>IF(F684&lt;&gt;"",1+MAX($B$21:B683),"")</f>
        <v/>
      </c>
      <c r="C684" s="195"/>
      <c r="D684" s="75" t="s">
        <v>134</v>
      </c>
      <c r="E684" s="14"/>
      <c r="F684" s="19"/>
      <c r="G684" s="48"/>
      <c r="H684" s="48">
        <f t="shared" si="236"/>
        <v>0</v>
      </c>
      <c r="I684" s="48">
        <f t="shared" si="237"/>
        <v>0</v>
      </c>
      <c r="J684" s="49"/>
      <c r="K684" s="50">
        <f t="shared" si="238"/>
        <v>0</v>
      </c>
      <c r="L684" s="50"/>
      <c r="M684" s="48"/>
      <c r="N684" s="48">
        <f t="shared" si="239"/>
        <v>0</v>
      </c>
      <c r="O684" s="48">
        <f t="shared" si="240"/>
        <v>0</v>
      </c>
      <c r="P684" s="48">
        <f t="shared" si="241"/>
        <v>0</v>
      </c>
      <c r="Q684" s="48">
        <f t="shared" si="242"/>
        <v>0</v>
      </c>
      <c r="R684" s="41">
        <f t="shared" si="243"/>
        <v>0</v>
      </c>
    </row>
    <row r="685" spans="2:18" x14ac:dyDescent="0.2">
      <c r="B685" s="61" t="str">
        <f>IF(F685&lt;&gt;"",1+MAX($B$21:B684),"")</f>
        <v/>
      </c>
      <c r="C685" s="195"/>
      <c r="D685" s="73"/>
      <c r="E685" s="14"/>
      <c r="F685" s="19"/>
      <c r="G685" s="48"/>
      <c r="H685" s="48">
        <f t="shared" si="236"/>
        <v>0</v>
      </c>
      <c r="I685" s="48">
        <f t="shared" si="237"/>
        <v>0</v>
      </c>
      <c r="J685" s="49"/>
      <c r="K685" s="50">
        <f t="shared" si="238"/>
        <v>0</v>
      </c>
      <c r="L685" s="50"/>
      <c r="M685" s="48"/>
      <c r="N685" s="48">
        <f t="shared" si="239"/>
        <v>0</v>
      </c>
      <c r="O685" s="48">
        <f t="shared" si="240"/>
        <v>0</v>
      </c>
      <c r="P685" s="48">
        <f t="shared" si="241"/>
        <v>0</v>
      </c>
      <c r="Q685" s="48">
        <f t="shared" si="242"/>
        <v>0</v>
      </c>
      <c r="R685" s="41">
        <f t="shared" si="243"/>
        <v>0</v>
      </c>
    </row>
    <row r="686" spans="2:18" x14ac:dyDescent="0.2">
      <c r="B686" s="61" t="str">
        <f>IF(F686&lt;&gt;"",1+MAX($B$21:B685),"")</f>
        <v/>
      </c>
      <c r="C686" s="195"/>
      <c r="D686" s="75" t="s">
        <v>658</v>
      </c>
      <c r="E686" s="14"/>
      <c r="F686" s="19"/>
      <c r="G686" s="48"/>
      <c r="H686" s="48">
        <f t="shared" si="236"/>
        <v>0</v>
      </c>
      <c r="I686" s="48">
        <f t="shared" si="237"/>
        <v>0</v>
      </c>
      <c r="J686" s="49"/>
      <c r="K686" s="50">
        <f t="shared" si="238"/>
        <v>0</v>
      </c>
      <c r="L686" s="50"/>
      <c r="M686" s="48"/>
      <c r="N686" s="48">
        <f t="shared" si="239"/>
        <v>0</v>
      </c>
      <c r="O686" s="48">
        <f t="shared" si="240"/>
        <v>0</v>
      </c>
      <c r="P686" s="48">
        <f t="shared" si="241"/>
        <v>0</v>
      </c>
      <c r="Q686" s="48">
        <f t="shared" si="242"/>
        <v>0</v>
      </c>
      <c r="R686" s="41">
        <f t="shared" si="243"/>
        <v>0</v>
      </c>
    </row>
    <row r="687" spans="2:18" x14ac:dyDescent="0.2">
      <c r="B687" s="61">
        <f>IF(F687&lt;&gt;"",1+MAX($B$21:B686),"")</f>
        <v>417</v>
      </c>
      <c r="C687" s="195"/>
      <c r="D687" s="73" t="s">
        <v>659</v>
      </c>
      <c r="E687" s="14" t="s">
        <v>74</v>
      </c>
      <c r="F687" s="19">
        <v>34.520000000000003</v>
      </c>
      <c r="G687" s="12">
        <v>5.5</v>
      </c>
      <c r="H687" s="12">
        <f t="shared" si="236"/>
        <v>5.2359999999999998</v>
      </c>
      <c r="I687" s="12">
        <f t="shared" ref="I687" si="247">F687*H687</f>
        <v>180.74672000000001</v>
      </c>
      <c r="J687" s="11">
        <v>0.22</v>
      </c>
      <c r="K687" s="7">
        <f t="shared" ref="K687" si="248">F687*J687</f>
        <v>7.5944000000000011</v>
      </c>
      <c r="L687" s="28" t="s">
        <v>1076</v>
      </c>
      <c r="M687" s="29">
        <v>64.45</v>
      </c>
      <c r="N687" s="48">
        <f t="shared" si="239"/>
        <v>47.112949999999998</v>
      </c>
      <c r="O687" s="48">
        <f t="shared" si="240"/>
        <v>10.364849</v>
      </c>
      <c r="P687" s="48">
        <f t="shared" si="241"/>
        <v>357.79458748000002</v>
      </c>
      <c r="Q687" s="48">
        <f t="shared" si="242"/>
        <v>538.54130748</v>
      </c>
      <c r="R687" s="41">
        <f t="shared" si="243"/>
        <v>762.96759614196003</v>
      </c>
    </row>
    <row r="688" spans="2:18" x14ac:dyDescent="0.2">
      <c r="B688" s="61" t="str">
        <f>IF(F688&lt;&gt;"",1+MAX($B$21:B687),"")</f>
        <v/>
      </c>
      <c r="C688" s="195"/>
      <c r="D688" s="75" t="s">
        <v>671</v>
      </c>
      <c r="E688" s="14"/>
      <c r="F688" s="19"/>
      <c r="G688" s="48"/>
      <c r="H688" s="48">
        <f t="shared" si="236"/>
        <v>0</v>
      </c>
      <c r="I688" s="48">
        <f t="shared" si="237"/>
        <v>0</v>
      </c>
      <c r="J688" s="49"/>
      <c r="K688" s="50">
        <f t="shared" si="238"/>
        <v>0</v>
      </c>
      <c r="L688" s="50"/>
      <c r="M688" s="48"/>
      <c r="N688" s="48">
        <f t="shared" si="239"/>
        <v>0</v>
      </c>
      <c r="O688" s="48">
        <f t="shared" si="240"/>
        <v>0</v>
      </c>
      <c r="P688" s="48">
        <f t="shared" si="241"/>
        <v>0</v>
      </c>
      <c r="Q688" s="48">
        <f t="shared" si="242"/>
        <v>0</v>
      </c>
      <c r="R688" s="41">
        <f t="shared" si="243"/>
        <v>0</v>
      </c>
    </row>
    <row r="689" spans="2:18" x14ac:dyDescent="0.2">
      <c r="B689" s="61" t="str">
        <f>IF(F689&lt;&gt;"",1+MAX($B$21:B688),"")</f>
        <v/>
      </c>
      <c r="C689" s="195"/>
      <c r="D689" s="73"/>
      <c r="E689" s="14"/>
      <c r="F689" s="19"/>
      <c r="G689" s="48"/>
      <c r="H689" s="48">
        <f t="shared" si="236"/>
        <v>0</v>
      </c>
      <c r="I689" s="48">
        <f t="shared" si="237"/>
        <v>0</v>
      </c>
      <c r="J689" s="49"/>
      <c r="K689" s="50">
        <f t="shared" si="238"/>
        <v>0</v>
      </c>
      <c r="L689" s="50"/>
      <c r="M689" s="48"/>
      <c r="N689" s="48">
        <f t="shared" si="239"/>
        <v>0</v>
      </c>
      <c r="O689" s="48">
        <f t="shared" si="240"/>
        <v>0</v>
      </c>
      <c r="P689" s="48">
        <f t="shared" si="241"/>
        <v>0</v>
      </c>
      <c r="Q689" s="48">
        <f t="shared" si="242"/>
        <v>0</v>
      </c>
      <c r="R689" s="41">
        <f t="shared" si="243"/>
        <v>0</v>
      </c>
    </row>
    <row r="690" spans="2:18" x14ac:dyDescent="0.2">
      <c r="B690" s="61" t="str">
        <f>IF(F690&lt;&gt;"",1+MAX($B$21:B689),"")</f>
        <v/>
      </c>
      <c r="C690" s="195"/>
      <c r="D690" s="75" t="s">
        <v>660</v>
      </c>
      <c r="E690" s="14"/>
      <c r="F690" s="19"/>
      <c r="G690" s="48"/>
      <c r="H690" s="48">
        <f t="shared" si="236"/>
        <v>0</v>
      </c>
      <c r="I690" s="48">
        <f t="shared" si="237"/>
        <v>0</v>
      </c>
      <c r="J690" s="49"/>
      <c r="K690" s="50">
        <f t="shared" si="238"/>
        <v>0</v>
      </c>
      <c r="L690" s="50"/>
      <c r="M690" s="48"/>
      <c r="N690" s="48">
        <f t="shared" si="239"/>
        <v>0</v>
      </c>
      <c r="O690" s="48">
        <f t="shared" si="240"/>
        <v>0</v>
      </c>
      <c r="P690" s="48">
        <f t="shared" si="241"/>
        <v>0</v>
      </c>
      <c r="Q690" s="48">
        <f t="shared" si="242"/>
        <v>0</v>
      </c>
      <c r="R690" s="41">
        <f t="shared" si="243"/>
        <v>0</v>
      </c>
    </row>
    <row r="691" spans="2:18" x14ac:dyDescent="0.2">
      <c r="B691" s="61">
        <f>IF(F691&lt;&gt;"",1+MAX($B$21:B690),"")</f>
        <v>418</v>
      </c>
      <c r="C691" s="195"/>
      <c r="D691" s="73" t="s">
        <v>661</v>
      </c>
      <c r="E691" s="14" t="s">
        <v>74</v>
      </c>
      <c r="F691" s="19">
        <v>9.7100000000000009</v>
      </c>
      <c r="G691" s="12">
        <v>11.85</v>
      </c>
      <c r="H691" s="12">
        <f t="shared" si="236"/>
        <v>11.281199999999998</v>
      </c>
      <c r="I691" s="12">
        <f t="shared" si="237"/>
        <v>109.54045199999999</v>
      </c>
      <c r="J691" s="11">
        <v>0.28799999999999998</v>
      </c>
      <c r="K691" s="7">
        <f t="shared" si="238"/>
        <v>2.7964799999999999</v>
      </c>
      <c r="L691" s="28" t="s">
        <v>1077</v>
      </c>
      <c r="M691" s="29">
        <v>50.55</v>
      </c>
      <c r="N691" s="48">
        <f t="shared" si="239"/>
        <v>36.95205</v>
      </c>
      <c r="O691" s="48">
        <f t="shared" si="240"/>
        <v>10.642190399999999</v>
      </c>
      <c r="P691" s="48">
        <f t="shared" si="241"/>
        <v>103.33566878399999</v>
      </c>
      <c r="Q691" s="48">
        <f t="shared" si="242"/>
        <v>212.87612078399997</v>
      </c>
      <c r="R691" s="41">
        <f t="shared" si="243"/>
        <v>300.42228652756796</v>
      </c>
    </row>
    <row r="692" spans="2:18" x14ac:dyDescent="0.2">
      <c r="B692" s="61">
        <f>IF(F692&lt;&gt;"",1+MAX($B$21:B691),"")</f>
        <v>419</v>
      </c>
      <c r="C692" s="195"/>
      <c r="D692" s="73" t="s">
        <v>662</v>
      </c>
      <c r="E692" s="14" t="s">
        <v>74</v>
      </c>
      <c r="F692" s="19">
        <v>18.600000000000001</v>
      </c>
      <c r="G692" s="12">
        <v>11.85</v>
      </c>
      <c r="H692" s="12">
        <f t="shared" si="236"/>
        <v>11.281199999999998</v>
      </c>
      <c r="I692" s="12">
        <f t="shared" si="237"/>
        <v>209.83031999999997</v>
      </c>
      <c r="J692" s="11">
        <v>0.28799999999999998</v>
      </c>
      <c r="K692" s="7">
        <f t="shared" si="238"/>
        <v>5.3567999999999998</v>
      </c>
      <c r="L692" s="28" t="s">
        <v>1077</v>
      </c>
      <c r="M692" s="29">
        <v>50.55</v>
      </c>
      <c r="N692" s="48">
        <f t="shared" si="239"/>
        <v>36.95205</v>
      </c>
      <c r="O692" s="48">
        <f t="shared" si="240"/>
        <v>10.642190399999999</v>
      </c>
      <c r="P692" s="48">
        <f t="shared" si="241"/>
        <v>197.94474144</v>
      </c>
      <c r="Q692" s="48">
        <f t="shared" si="242"/>
        <v>407.77506143999994</v>
      </c>
      <c r="R692" s="41">
        <f t="shared" si="243"/>
        <v>575.47420488287992</v>
      </c>
    </row>
    <row r="693" spans="2:18" x14ac:dyDescent="0.2">
      <c r="B693" s="61">
        <f>IF(F693&lt;&gt;"",1+MAX($B$21:B692),"")</f>
        <v>420</v>
      </c>
      <c r="C693" s="195"/>
      <c r="D693" s="73" t="s">
        <v>663</v>
      </c>
      <c r="E693" s="14" t="s">
        <v>74</v>
      </c>
      <c r="F693" s="19">
        <v>44.21</v>
      </c>
      <c r="G693" s="12">
        <v>8.6999999999999993</v>
      </c>
      <c r="H693" s="12">
        <f t="shared" si="236"/>
        <v>8.2823999999999991</v>
      </c>
      <c r="I693" s="12">
        <f t="shared" si="237"/>
        <v>366.16490399999998</v>
      </c>
      <c r="J693" s="11">
        <v>0.25</v>
      </c>
      <c r="K693" s="7">
        <f t="shared" si="238"/>
        <v>11.0525</v>
      </c>
      <c r="L693" s="28" t="s">
        <v>1077</v>
      </c>
      <c r="M693" s="29">
        <v>50.55</v>
      </c>
      <c r="N693" s="48">
        <f t="shared" si="239"/>
        <v>36.95205</v>
      </c>
      <c r="O693" s="48">
        <f t="shared" si="240"/>
        <v>9.2380125</v>
      </c>
      <c r="P693" s="48">
        <f t="shared" si="241"/>
        <v>408.41253262499998</v>
      </c>
      <c r="Q693" s="48">
        <f t="shared" si="242"/>
        <v>774.57743662500002</v>
      </c>
      <c r="R693" s="41">
        <f t="shared" si="243"/>
        <v>1094.1173560014749</v>
      </c>
    </row>
    <row r="694" spans="2:18" x14ac:dyDescent="0.2">
      <c r="B694" s="61" t="str">
        <f>IF(F694&lt;&gt;"",1+MAX($B$21:B693),"")</f>
        <v/>
      </c>
      <c r="C694" s="67"/>
      <c r="D694" s="73"/>
      <c r="E694" s="14"/>
      <c r="F694" s="19"/>
      <c r="G694" s="48"/>
      <c r="H694" s="48">
        <f t="shared" si="236"/>
        <v>0</v>
      </c>
      <c r="I694" s="48">
        <f t="shared" si="237"/>
        <v>0</v>
      </c>
      <c r="J694" s="49"/>
      <c r="K694" s="50">
        <f t="shared" si="238"/>
        <v>0</v>
      </c>
      <c r="L694" s="50"/>
      <c r="M694" s="48"/>
      <c r="N694" s="48">
        <f t="shared" si="239"/>
        <v>0</v>
      </c>
      <c r="O694" s="48">
        <f t="shared" si="240"/>
        <v>0</v>
      </c>
      <c r="P694" s="48">
        <f t="shared" si="241"/>
        <v>0</v>
      </c>
      <c r="Q694" s="48">
        <f t="shared" si="242"/>
        <v>0</v>
      </c>
      <c r="R694" s="41">
        <f t="shared" si="243"/>
        <v>0</v>
      </c>
    </row>
    <row r="695" spans="2:18" x14ac:dyDescent="0.2">
      <c r="B695" s="62" t="str">
        <f>IF(F695&lt;&gt;"",1+MAX($B$21:B694),"")</f>
        <v/>
      </c>
      <c r="C695" s="68"/>
      <c r="D695" s="74" t="s">
        <v>108</v>
      </c>
      <c r="E695" s="14"/>
      <c r="F695" s="19"/>
      <c r="G695" s="48"/>
      <c r="H695" s="48">
        <f t="shared" si="236"/>
        <v>0</v>
      </c>
      <c r="I695" s="48">
        <f t="shared" si="237"/>
        <v>0</v>
      </c>
      <c r="J695" s="49"/>
      <c r="K695" s="50">
        <f t="shared" si="238"/>
        <v>0</v>
      </c>
      <c r="L695" s="50"/>
      <c r="M695" s="48"/>
      <c r="N695" s="48">
        <f t="shared" si="239"/>
        <v>0</v>
      </c>
      <c r="O695" s="48">
        <f t="shared" si="240"/>
        <v>0</v>
      </c>
      <c r="P695" s="48">
        <f t="shared" si="241"/>
        <v>0</v>
      </c>
      <c r="Q695" s="48">
        <f t="shared" si="242"/>
        <v>0</v>
      </c>
      <c r="R695" s="41">
        <f t="shared" si="243"/>
        <v>0</v>
      </c>
    </row>
    <row r="696" spans="2:18" ht="63.75" x14ac:dyDescent="0.2">
      <c r="B696" s="61">
        <f>IF(F696&lt;&gt;"",1+MAX($B$21:B695),"")</f>
        <v>421</v>
      </c>
      <c r="C696" s="198" t="s">
        <v>698</v>
      </c>
      <c r="D696" s="73" t="s">
        <v>676</v>
      </c>
      <c r="E696" s="14" t="s">
        <v>79</v>
      </c>
      <c r="F696" s="19">
        <v>1</v>
      </c>
      <c r="G696" s="48">
        <v>334.43</v>
      </c>
      <c r="H696" s="48">
        <f t="shared" si="236"/>
        <v>318.37736000000001</v>
      </c>
      <c r="I696" s="48">
        <f t="shared" si="237"/>
        <v>318.37736000000001</v>
      </c>
      <c r="J696" s="11">
        <v>1.6</v>
      </c>
      <c r="K696" s="7">
        <f t="shared" si="238"/>
        <v>1.6</v>
      </c>
      <c r="L696" s="28" t="s">
        <v>1076</v>
      </c>
      <c r="M696" s="29">
        <v>64.45</v>
      </c>
      <c r="N696" s="48">
        <f t="shared" si="239"/>
        <v>47.112949999999998</v>
      </c>
      <c r="O696" s="48">
        <f t="shared" si="240"/>
        <v>75.380719999999997</v>
      </c>
      <c r="P696" s="48">
        <f t="shared" si="241"/>
        <v>75.380719999999997</v>
      </c>
      <c r="Q696" s="48">
        <f t="shared" si="242"/>
        <v>393.75808000000001</v>
      </c>
      <c r="R696" s="41">
        <f t="shared" si="243"/>
        <v>552.15043294400004</v>
      </c>
    </row>
    <row r="697" spans="2:18" ht="114.75" x14ac:dyDescent="0.2">
      <c r="B697" s="61">
        <f>IF(F697&lt;&gt;"",1+MAX($B$21:B696),"")</f>
        <v>422</v>
      </c>
      <c r="C697" s="196"/>
      <c r="D697" s="73" t="s">
        <v>675</v>
      </c>
      <c r="E697" s="14" t="s">
        <v>79</v>
      </c>
      <c r="F697" s="19">
        <v>1</v>
      </c>
      <c r="G697" s="48">
        <v>2652</v>
      </c>
      <c r="H697" s="48">
        <f t="shared" si="236"/>
        <v>2524.7039999999997</v>
      </c>
      <c r="I697" s="48">
        <f t="shared" si="237"/>
        <v>2524.7039999999997</v>
      </c>
      <c r="J697" s="11">
        <v>3.3279999999999998</v>
      </c>
      <c r="K697" s="7">
        <f t="shared" si="238"/>
        <v>3.3279999999999998</v>
      </c>
      <c r="L697" s="28" t="s">
        <v>1074</v>
      </c>
      <c r="M697" s="29">
        <v>58</v>
      </c>
      <c r="N697" s="48">
        <f t="shared" si="239"/>
        <v>42.397999999999996</v>
      </c>
      <c r="O697" s="48">
        <f t="shared" si="240"/>
        <v>141.10054399999999</v>
      </c>
      <c r="P697" s="48">
        <f t="shared" si="241"/>
        <v>141.10054399999999</v>
      </c>
      <c r="Q697" s="48">
        <f t="shared" si="242"/>
        <v>2665.8045439999996</v>
      </c>
      <c r="R697" s="41">
        <f t="shared" si="243"/>
        <v>3726.8471418879999</v>
      </c>
    </row>
    <row r="698" spans="2:18" ht="63.75" x14ac:dyDescent="0.2">
      <c r="B698" s="61">
        <f>IF(F698&lt;&gt;"",1+MAX($B$21:B697),"")</f>
        <v>423</v>
      </c>
      <c r="C698" s="196"/>
      <c r="D698" s="73" t="s">
        <v>677</v>
      </c>
      <c r="E698" s="14" t="s">
        <v>79</v>
      </c>
      <c r="F698" s="19">
        <v>1</v>
      </c>
      <c r="G698" s="48">
        <v>1178.0899999999999</v>
      </c>
      <c r="H698" s="48">
        <f t="shared" si="236"/>
        <v>1121.5416799999998</v>
      </c>
      <c r="I698" s="48">
        <f t="shared" si="237"/>
        <v>1121.5416799999998</v>
      </c>
      <c r="J698" s="11">
        <v>5.3330000000000002</v>
      </c>
      <c r="K698" s="7">
        <f t="shared" si="238"/>
        <v>5.3330000000000002</v>
      </c>
      <c r="L698" s="28" t="s">
        <v>1075</v>
      </c>
      <c r="M698" s="29">
        <v>62.9</v>
      </c>
      <c r="N698" s="48">
        <f t="shared" si="239"/>
        <v>45.979900000000001</v>
      </c>
      <c r="O698" s="48">
        <f t="shared" si="240"/>
        <v>245.21080670000001</v>
      </c>
      <c r="P698" s="48">
        <f t="shared" si="241"/>
        <v>245.21080670000001</v>
      </c>
      <c r="Q698" s="48">
        <f t="shared" si="242"/>
        <v>1366.7524866999997</v>
      </c>
      <c r="R698" s="41">
        <f t="shared" si="243"/>
        <v>1916.0366231128996</v>
      </c>
    </row>
    <row r="699" spans="2:18" ht="165.75" x14ac:dyDescent="0.2">
      <c r="B699" s="61">
        <f>IF(F699&lt;&gt;"",1+MAX($B$21:B698),"")</f>
        <v>424</v>
      </c>
      <c r="C699" s="196"/>
      <c r="D699" s="73" t="s">
        <v>682</v>
      </c>
      <c r="E699" s="14" t="s">
        <v>79</v>
      </c>
      <c r="F699" s="19">
        <v>2</v>
      </c>
      <c r="G699" s="48">
        <f>367.88+99+286.99+45.58+118.96+447.99+49.57+49.57</f>
        <v>1465.54</v>
      </c>
      <c r="H699" s="48">
        <f t="shared" si="236"/>
        <v>1395.19408</v>
      </c>
      <c r="I699" s="48">
        <f t="shared" si="237"/>
        <v>2790.38816</v>
      </c>
      <c r="J699" s="11">
        <v>5.4660000000000002</v>
      </c>
      <c r="K699" s="7">
        <f t="shared" si="238"/>
        <v>10.932</v>
      </c>
      <c r="L699" s="28" t="s">
        <v>1074</v>
      </c>
      <c r="M699" s="29">
        <v>58</v>
      </c>
      <c r="N699" s="48">
        <f t="shared" si="239"/>
        <v>42.397999999999996</v>
      </c>
      <c r="O699" s="48">
        <f t="shared" si="240"/>
        <v>231.747468</v>
      </c>
      <c r="P699" s="48">
        <f t="shared" si="241"/>
        <v>463.494936</v>
      </c>
      <c r="Q699" s="48">
        <f t="shared" si="242"/>
        <v>3253.883096</v>
      </c>
      <c r="R699" s="41">
        <f t="shared" si="243"/>
        <v>4557.9053002960009</v>
      </c>
    </row>
    <row r="700" spans="2:18" ht="127.5" x14ac:dyDescent="0.2">
      <c r="B700" s="61">
        <f>IF(F700&lt;&gt;"",1+MAX($B$21:B699),"")</f>
        <v>425</v>
      </c>
      <c r="C700" s="196"/>
      <c r="D700" s="73" t="s">
        <v>683</v>
      </c>
      <c r="E700" s="14" t="s">
        <v>79</v>
      </c>
      <c r="F700" s="19">
        <v>1</v>
      </c>
      <c r="G700" s="48">
        <f>295.65+359.05</f>
        <v>654.70000000000005</v>
      </c>
      <c r="H700" s="48">
        <f t="shared" si="236"/>
        <v>623.27440000000001</v>
      </c>
      <c r="I700" s="48">
        <f t="shared" si="237"/>
        <v>623.27440000000001</v>
      </c>
      <c r="J700" s="11">
        <v>3.9830000000000001</v>
      </c>
      <c r="K700" s="7">
        <f t="shared" si="238"/>
        <v>3.9830000000000001</v>
      </c>
      <c r="L700" s="28" t="s">
        <v>1074</v>
      </c>
      <c r="M700" s="29">
        <v>58</v>
      </c>
      <c r="N700" s="48">
        <f t="shared" si="239"/>
        <v>42.397999999999996</v>
      </c>
      <c r="O700" s="48">
        <f t="shared" si="240"/>
        <v>168.87123399999999</v>
      </c>
      <c r="P700" s="48">
        <f t="shared" si="241"/>
        <v>168.87123399999999</v>
      </c>
      <c r="Q700" s="48">
        <f t="shared" si="242"/>
        <v>792.14563399999997</v>
      </c>
      <c r="R700" s="41">
        <f t="shared" si="243"/>
        <v>1111.3196230779999</v>
      </c>
    </row>
    <row r="701" spans="2:18" ht="102" x14ac:dyDescent="0.2">
      <c r="B701" s="61">
        <f>IF(F701&lt;&gt;"",1+MAX($B$21:B700),"")</f>
        <v>426</v>
      </c>
      <c r="C701" s="196"/>
      <c r="D701" s="73" t="s">
        <v>687</v>
      </c>
      <c r="E701" s="14" t="s">
        <v>79</v>
      </c>
      <c r="F701" s="19">
        <v>1</v>
      </c>
      <c r="G701" s="48">
        <f>1128+118.96+586.5+21.59</f>
        <v>1855.05</v>
      </c>
      <c r="H701" s="48">
        <f t="shared" si="236"/>
        <v>1766.0075999999999</v>
      </c>
      <c r="I701" s="48">
        <f t="shared" si="237"/>
        <v>1766.0075999999999</v>
      </c>
      <c r="J701" s="11">
        <v>4.2759999999999998</v>
      </c>
      <c r="K701" s="7">
        <f t="shared" si="238"/>
        <v>4.2759999999999998</v>
      </c>
      <c r="L701" s="28" t="s">
        <v>1074</v>
      </c>
      <c r="M701" s="29">
        <v>58</v>
      </c>
      <c r="N701" s="48">
        <f t="shared" si="239"/>
        <v>42.397999999999996</v>
      </c>
      <c r="O701" s="48">
        <f t="shared" si="240"/>
        <v>181.29384799999997</v>
      </c>
      <c r="P701" s="48">
        <f t="shared" si="241"/>
        <v>181.29384799999997</v>
      </c>
      <c r="Q701" s="48">
        <f t="shared" si="242"/>
        <v>1947.3014479999999</v>
      </c>
      <c r="R701" s="41">
        <f t="shared" si="243"/>
        <v>2724.7593337359999</v>
      </c>
    </row>
    <row r="702" spans="2:18" ht="102" x14ac:dyDescent="0.2">
      <c r="B702" s="61">
        <f>IF(F702&lt;&gt;"",1+MAX($B$21:B701),"")</f>
        <v>427</v>
      </c>
      <c r="C702" s="196"/>
      <c r="D702" s="73" t="s">
        <v>688</v>
      </c>
      <c r="E702" s="14" t="s">
        <v>79</v>
      </c>
      <c r="F702" s="19">
        <v>1</v>
      </c>
      <c r="G702" s="48">
        <f>217.12+138+118.96+586.5+21.59</f>
        <v>1082.1699999999998</v>
      </c>
      <c r="H702" s="48">
        <f t="shared" si="236"/>
        <v>1030.2258399999998</v>
      </c>
      <c r="I702" s="48">
        <f t="shared" si="237"/>
        <v>1030.2258399999998</v>
      </c>
      <c r="J702" s="11">
        <v>4.2759999999999998</v>
      </c>
      <c r="K702" s="7">
        <f t="shared" si="238"/>
        <v>4.2759999999999998</v>
      </c>
      <c r="L702" s="28" t="s">
        <v>1074</v>
      </c>
      <c r="M702" s="29">
        <v>58</v>
      </c>
      <c r="N702" s="48">
        <f t="shared" si="239"/>
        <v>42.397999999999996</v>
      </c>
      <c r="O702" s="48">
        <f t="shared" si="240"/>
        <v>181.29384799999997</v>
      </c>
      <c r="P702" s="48">
        <f t="shared" si="241"/>
        <v>181.29384799999997</v>
      </c>
      <c r="Q702" s="48">
        <f t="shared" si="242"/>
        <v>1211.5196879999999</v>
      </c>
      <c r="R702" s="41">
        <f t="shared" si="243"/>
        <v>1697.3136840719997</v>
      </c>
    </row>
    <row r="703" spans="2:18" ht="76.5" x14ac:dyDescent="0.2">
      <c r="B703" s="61">
        <f>IF(F703&lt;&gt;"",1+MAX($B$21:B702),"")</f>
        <v>428</v>
      </c>
      <c r="C703" s="197"/>
      <c r="D703" s="73" t="s">
        <v>674</v>
      </c>
      <c r="E703" s="14" t="s">
        <v>79</v>
      </c>
      <c r="F703" s="19">
        <v>2</v>
      </c>
      <c r="G703" s="48">
        <f>667.7+75.92+186.22</f>
        <v>929.84</v>
      </c>
      <c r="H703" s="48">
        <f t="shared" si="236"/>
        <v>885.20767999999998</v>
      </c>
      <c r="I703" s="48">
        <f t="shared" si="237"/>
        <v>1770.41536</v>
      </c>
      <c r="J703" s="11">
        <v>4.5170000000000003</v>
      </c>
      <c r="K703" s="7">
        <f t="shared" si="238"/>
        <v>9.0340000000000007</v>
      </c>
      <c r="L703" s="28" t="s">
        <v>1074</v>
      </c>
      <c r="M703" s="29">
        <v>58</v>
      </c>
      <c r="N703" s="48">
        <f t="shared" si="239"/>
        <v>42.397999999999996</v>
      </c>
      <c r="O703" s="48">
        <f t="shared" si="240"/>
        <v>191.51176599999999</v>
      </c>
      <c r="P703" s="48">
        <f t="shared" si="241"/>
        <v>383.02353199999999</v>
      </c>
      <c r="Q703" s="48">
        <f t="shared" si="242"/>
        <v>2153.4388920000001</v>
      </c>
      <c r="R703" s="41">
        <f t="shared" si="243"/>
        <v>3018.7825888680009</v>
      </c>
    </row>
    <row r="704" spans="2:18" x14ac:dyDescent="0.2">
      <c r="B704" s="61" t="str">
        <f>IF(F704&lt;&gt;"",1+MAX($B$21:B703),"")</f>
        <v/>
      </c>
      <c r="C704" s="67"/>
      <c r="D704" s="73"/>
      <c r="E704" s="14"/>
      <c r="F704" s="19"/>
      <c r="G704" s="48"/>
      <c r="H704" s="48">
        <f t="shared" si="236"/>
        <v>0</v>
      </c>
      <c r="I704" s="48">
        <f t="shared" si="237"/>
        <v>0</v>
      </c>
      <c r="J704" s="49"/>
      <c r="K704" s="50">
        <f t="shared" si="238"/>
        <v>0</v>
      </c>
      <c r="L704" s="50"/>
      <c r="M704" s="48"/>
      <c r="N704" s="48">
        <f t="shared" si="239"/>
        <v>0</v>
      </c>
      <c r="O704" s="48">
        <f t="shared" si="240"/>
        <v>0</v>
      </c>
      <c r="P704" s="48">
        <f t="shared" si="241"/>
        <v>0</v>
      </c>
      <c r="Q704" s="48">
        <f t="shared" si="242"/>
        <v>0</v>
      </c>
      <c r="R704" s="41">
        <f t="shared" si="243"/>
        <v>0</v>
      </c>
    </row>
    <row r="705" spans="2:18" x14ac:dyDescent="0.2">
      <c r="B705" s="62" t="str">
        <f>IF(F705&lt;&gt;"",1+MAX($B$21:B704),"")</f>
        <v/>
      </c>
      <c r="C705" s="68"/>
      <c r="D705" s="74" t="s">
        <v>668</v>
      </c>
      <c r="E705" s="14"/>
      <c r="F705" s="19"/>
      <c r="G705" s="48"/>
      <c r="H705" s="48">
        <f t="shared" si="236"/>
        <v>0</v>
      </c>
      <c r="I705" s="48">
        <f t="shared" si="237"/>
        <v>0</v>
      </c>
      <c r="J705" s="49"/>
      <c r="K705" s="50">
        <f t="shared" si="238"/>
        <v>0</v>
      </c>
      <c r="L705" s="50"/>
      <c r="M705" s="48"/>
      <c r="N705" s="48">
        <f t="shared" si="239"/>
        <v>0</v>
      </c>
      <c r="O705" s="48">
        <f t="shared" si="240"/>
        <v>0</v>
      </c>
      <c r="P705" s="48">
        <f t="shared" si="241"/>
        <v>0</v>
      </c>
      <c r="Q705" s="48">
        <f t="shared" si="242"/>
        <v>0</v>
      </c>
      <c r="R705" s="41">
        <f t="shared" si="243"/>
        <v>0</v>
      </c>
    </row>
    <row r="706" spans="2:18" ht="89.25" x14ac:dyDescent="0.2">
      <c r="B706" s="61">
        <f>IF(F706&lt;&gt;"",1+MAX($B$21:B705),"")</f>
        <v>429</v>
      </c>
      <c r="C706" s="198" t="s">
        <v>699</v>
      </c>
      <c r="D706" s="73" t="s">
        <v>692</v>
      </c>
      <c r="E706" s="14" t="s">
        <v>79</v>
      </c>
      <c r="F706" s="19">
        <v>1</v>
      </c>
      <c r="G706" s="48">
        <v>415.8</v>
      </c>
      <c r="H706" s="48">
        <f t="shared" si="236"/>
        <v>395.84159999999997</v>
      </c>
      <c r="I706" s="48">
        <f t="shared" si="237"/>
        <v>395.84159999999997</v>
      </c>
      <c r="J706" s="49">
        <v>1.333</v>
      </c>
      <c r="K706" s="50">
        <f t="shared" si="238"/>
        <v>1.333</v>
      </c>
      <c r="L706" s="50" t="s">
        <v>1076</v>
      </c>
      <c r="M706" s="48">
        <v>64.45</v>
      </c>
      <c r="N706" s="48">
        <f t="shared" si="239"/>
        <v>47.112949999999998</v>
      </c>
      <c r="O706" s="48">
        <f t="shared" si="240"/>
        <v>62.801562349999998</v>
      </c>
      <c r="P706" s="48">
        <f t="shared" si="241"/>
        <v>62.801562349999998</v>
      </c>
      <c r="Q706" s="48">
        <f t="shared" si="242"/>
        <v>458.64316234999995</v>
      </c>
      <c r="R706" s="41">
        <f t="shared" si="243"/>
        <v>642.37103971344993</v>
      </c>
    </row>
    <row r="707" spans="2:18" ht="63.75" x14ac:dyDescent="0.2">
      <c r="B707" s="61">
        <f>IF(F707&lt;&gt;"",1+MAX($B$21:B706),"")</f>
        <v>430</v>
      </c>
      <c r="C707" s="197"/>
      <c r="D707" s="80" t="s">
        <v>686</v>
      </c>
      <c r="E707" s="35" t="s">
        <v>79</v>
      </c>
      <c r="F707" s="25">
        <v>1</v>
      </c>
      <c r="G707" s="48">
        <v>3070.54</v>
      </c>
      <c r="H707" s="48">
        <f t="shared" si="236"/>
        <v>2923.1540799999998</v>
      </c>
      <c r="I707" s="48">
        <f t="shared" si="237"/>
        <v>2923.1540799999998</v>
      </c>
      <c r="J707" s="49">
        <v>4</v>
      </c>
      <c r="K707" s="50">
        <f t="shared" si="238"/>
        <v>4</v>
      </c>
      <c r="L707" s="28" t="s">
        <v>1074</v>
      </c>
      <c r="M707" s="29">
        <v>58</v>
      </c>
      <c r="N707" s="48">
        <f t="shared" si="239"/>
        <v>42.397999999999996</v>
      </c>
      <c r="O707" s="48">
        <f t="shared" si="240"/>
        <v>169.59199999999998</v>
      </c>
      <c r="P707" s="48">
        <f t="shared" si="241"/>
        <v>169.59199999999998</v>
      </c>
      <c r="Q707" s="48">
        <f t="shared" si="242"/>
        <v>3092.7460799999999</v>
      </c>
      <c r="R707" s="41">
        <f t="shared" si="243"/>
        <v>4323.9001413119995</v>
      </c>
    </row>
    <row r="708" spans="2:18" x14ac:dyDescent="0.2">
      <c r="B708" s="61" t="str">
        <f>IF(F708&lt;&gt;"",1+MAX($B$21:B707),"")</f>
        <v/>
      </c>
      <c r="C708" s="67"/>
      <c r="D708" s="73"/>
      <c r="E708" s="14"/>
      <c r="F708" s="19"/>
      <c r="G708" s="48"/>
      <c r="H708" s="48">
        <f t="shared" si="236"/>
        <v>0</v>
      </c>
      <c r="I708" s="48">
        <f t="shared" si="237"/>
        <v>0</v>
      </c>
      <c r="J708" s="49"/>
      <c r="K708" s="50">
        <f t="shared" si="238"/>
        <v>0</v>
      </c>
      <c r="L708" s="50"/>
      <c r="M708" s="48"/>
      <c r="N708" s="48">
        <f t="shared" si="239"/>
        <v>0</v>
      </c>
      <c r="O708" s="48">
        <f t="shared" si="240"/>
        <v>0</v>
      </c>
      <c r="P708" s="48">
        <f t="shared" si="241"/>
        <v>0</v>
      </c>
      <c r="Q708" s="48">
        <f t="shared" si="242"/>
        <v>0</v>
      </c>
      <c r="R708" s="41">
        <f t="shared" si="243"/>
        <v>0</v>
      </c>
    </row>
    <row r="709" spans="2:18" x14ac:dyDescent="0.2">
      <c r="B709" s="62" t="str">
        <f>IF(F709&lt;&gt;"",1+MAX($B$21:B708),"")</f>
        <v/>
      </c>
      <c r="C709" s="68"/>
      <c r="D709" s="74" t="s">
        <v>669</v>
      </c>
      <c r="E709" s="14"/>
      <c r="F709" s="19"/>
      <c r="G709" s="48"/>
      <c r="H709" s="48">
        <f t="shared" si="236"/>
        <v>0</v>
      </c>
      <c r="I709" s="48">
        <f t="shared" si="237"/>
        <v>0</v>
      </c>
      <c r="J709" s="49"/>
      <c r="K709" s="50">
        <f t="shared" si="238"/>
        <v>0</v>
      </c>
      <c r="L709" s="50"/>
      <c r="M709" s="48"/>
      <c r="N709" s="48">
        <f t="shared" si="239"/>
        <v>0</v>
      </c>
      <c r="O709" s="48">
        <f t="shared" si="240"/>
        <v>0</v>
      </c>
      <c r="P709" s="48">
        <f t="shared" si="241"/>
        <v>0</v>
      </c>
      <c r="Q709" s="48">
        <f t="shared" si="242"/>
        <v>0</v>
      </c>
      <c r="R709" s="41">
        <f t="shared" si="243"/>
        <v>0</v>
      </c>
    </row>
    <row r="710" spans="2:18" ht="38.25" x14ac:dyDescent="0.2">
      <c r="B710" s="61">
        <f>IF(F710&lt;&gt;"",1+MAX($B$21:B709),"")</f>
        <v>431</v>
      </c>
      <c r="C710" s="67" t="s">
        <v>700</v>
      </c>
      <c r="D710" s="73" t="s">
        <v>693</v>
      </c>
      <c r="E710" s="14" t="s">
        <v>79</v>
      </c>
      <c r="F710" s="19">
        <v>1</v>
      </c>
      <c r="G710" s="48">
        <v>144</v>
      </c>
      <c r="H710" s="48">
        <f t="shared" si="236"/>
        <v>137.08799999999999</v>
      </c>
      <c r="I710" s="48">
        <f t="shared" si="237"/>
        <v>137.08799999999999</v>
      </c>
      <c r="J710" s="49">
        <v>1.5</v>
      </c>
      <c r="K710" s="50">
        <f t="shared" si="238"/>
        <v>1.5</v>
      </c>
      <c r="L710" s="50" t="s">
        <v>1076</v>
      </c>
      <c r="M710" s="48">
        <v>64.45</v>
      </c>
      <c r="N710" s="48">
        <f t="shared" si="239"/>
        <v>47.112949999999998</v>
      </c>
      <c r="O710" s="48">
        <f t="shared" si="240"/>
        <v>70.66942499999999</v>
      </c>
      <c r="P710" s="48">
        <f t="shared" si="241"/>
        <v>70.66942499999999</v>
      </c>
      <c r="Q710" s="48">
        <f t="shared" si="242"/>
        <v>207.75742499999998</v>
      </c>
      <c r="R710" s="41">
        <f t="shared" si="243"/>
        <v>292.27495267500001</v>
      </c>
    </row>
    <row r="711" spans="2:18" x14ac:dyDescent="0.2">
      <c r="B711" s="61" t="str">
        <f>IF(F711&lt;&gt;"",1+MAX($B$21:B710),"")</f>
        <v/>
      </c>
      <c r="C711" s="67"/>
      <c r="D711" s="73"/>
      <c r="E711" s="14"/>
      <c r="F711" s="19"/>
      <c r="G711" s="48"/>
      <c r="H711" s="48">
        <f t="shared" si="236"/>
        <v>0</v>
      </c>
      <c r="I711" s="48">
        <f t="shared" si="237"/>
        <v>0</v>
      </c>
      <c r="J711" s="49"/>
      <c r="K711" s="50">
        <f t="shared" si="238"/>
        <v>0</v>
      </c>
      <c r="L711" s="50"/>
      <c r="M711" s="48"/>
      <c r="N711" s="48">
        <f t="shared" si="239"/>
        <v>0</v>
      </c>
      <c r="O711" s="48">
        <f t="shared" si="240"/>
        <v>0</v>
      </c>
      <c r="P711" s="48">
        <f t="shared" si="241"/>
        <v>0</v>
      </c>
      <c r="Q711" s="48">
        <f t="shared" si="242"/>
        <v>0</v>
      </c>
      <c r="R711" s="41">
        <f t="shared" si="243"/>
        <v>0</v>
      </c>
    </row>
    <row r="712" spans="2:18" x14ac:dyDescent="0.2">
      <c r="B712" s="62" t="str">
        <f>IF(F712&lt;&gt;"",1+MAX($B$21:B711),"")</f>
        <v/>
      </c>
      <c r="C712" s="68"/>
      <c r="D712" s="74" t="s">
        <v>614</v>
      </c>
      <c r="E712" s="14"/>
      <c r="F712" s="19"/>
      <c r="G712" s="48"/>
      <c r="H712" s="48">
        <f t="shared" si="236"/>
        <v>0</v>
      </c>
      <c r="I712" s="48">
        <f t="shared" si="237"/>
        <v>0</v>
      </c>
      <c r="J712" s="49"/>
      <c r="K712" s="50">
        <f t="shared" si="238"/>
        <v>0</v>
      </c>
      <c r="L712" s="50"/>
      <c r="M712" s="48"/>
      <c r="N712" s="48">
        <f t="shared" si="239"/>
        <v>0</v>
      </c>
      <c r="O712" s="48">
        <f t="shared" si="240"/>
        <v>0</v>
      </c>
      <c r="P712" s="48">
        <f t="shared" si="241"/>
        <v>0</v>
      </c>
      <c r="Q712" s="48">
        <f t="shared" si="242"/>
        <v>0</v>
      </c>
      <c r="R712" s="41">
        <f t="shared" si="243"/>
        <v>0</v>
      </c>
    </row>
    <row r="713" spans="2:18" ht="63.75" x14ac:dyDescent="0.2">
      <c r="B713" s="61">
        <f>IF(F713&lt;&gt;"",1+MAX($B$21:B712),"")</f>
        <v>432</v>
      </c>
      <c r="C713" s="198" t="s">
        <v>698</v>
      </c>
      <c r="D713" s="73" t="s">
        <v>680</v>
      </c>
      <c r="E713" s="14" t="s">
        <v>79</v>
      </c>
      <c r="F713" s="19">
        <v>7</v>
      </c>
      <c r="G713" s="48">
        <v>708.4</v>
      </c>
      <c r="H713" s="48">
        <f t="shared" si="236"/>
        <v>674.39679999999998</v>
      </c>
      <c r="I713" s="48">
        <f t="shared" si="237"/>
        <v>4720.7775999999994</v>
      </c>
      <c r="J713" s="49">
        <v>2.25</v>
      </c>
      <c r="K713" s="50">
        <f t="shared" si="238"/>
        <v>15.75</v>
      </c>
      <c r="L713" s="50" t="s">
        <v>1076</v>
      </c>
      <c r="M713" s="48">
        <v>64.45</v>
      </c>
      <c r="N713" s="48">
        <f t="shared" si="239"/>
        <v>47.112949999999998</v>
      </c>
      <c r="O713" s="48">
        <f t="shared" si="240"/>
        <v>106.0041375</v>
      </c>
      <c r="P713" s="48">
        <f t="shared" si="241"/>
        <v>742.02896250000003</v>
      </c>
      <c r="Q713" s="48">
        <f t="shared" si="242"/>
        <v>5462.8065624999999</v>
      </c>
      <c r="R713" s="41">
        <f t="shared" si="243"/>
        <v>7650.9691701275005</v>
      </c>
    </row>
    <row r="714" spans="2:18" ht="38.25" x14ac:dyDescent="0.2">
      <c r="B714" s="61">
        <f>IF(F714&lt;&gt;"",1+MAX($B$21:B713),"")</f>
        <v>433</v>
      </c>
      <c r="C714" s="196"/>
      <c r="D714" s="73" t="s">
        <v>679</v>
      </c>
      <c r="E714" s="14" t="s">
        <v>79</v>
      </c>
      <c r="F714" s="19">
        <v>3</v>
      </c>
      <c r="G714" s="48">
        <v>370.63</v>
      </c>
      <c r="H714" s="48">
        <f t="shared" si="236"/>
        <v>352.83975999999996</v>
      </c>
      <c r="I714" s="48">
        <f t="shared" si="237"/>
        <v>1058.51928</v>
      </c>
      <c r="J714" s="49">
        <v>1.333</v>
      </c>
      <c r="K714" s="50">
        <f t="shared" si="238"/>
        <v>3.9989999999999997</v>
      </c>
      <c r="L714" s="50" t="s">
        <v>1076</v>
      </c>
      <c r="M714" s="48">
        <v>64.45</v>
      </c>
      <c r="N714" s="48">
        <f t="shared" si="239"/>
        <v>47.112949999999998</v>
      </c>
      <c r="O714" s="48">
        <f t="shared" si="240"/>
        <v>62.801562349999998</v>
      </c>
      <c r="P714" s="48">
        <f t="shared" si="241"/>
        <v>188.40468705000001</v>
      </c>
      <c r="Q714" s="48">
        <f t="shared" si="242"/>
        <v>1246.9239670500001</v>
      </c>
      <c r="R714" s="41">
        <f t="shared" si="243"/>
        <v>1746.9698110123502</v>
      </c>
    </row>
    <row r="715" spans="2:18" ht="51" x14ac:dyDescent="0.2">
      <c r="B715" s="61">
        <f>IF(F715&lt;&gt;"",1+MAX($B$21:B714),"")</f>
        <v>434</v>
      </c>
      <c r="C715" s="196"/>
      <c r="D715" s="73" t="s">
        <v>684</v>
      </c>
      <c r="E715" s="14" t="s">
        <v>79</v>
      </c>
      <c r="F715" s="19">
        <v>2</v>
      </c>
      <c r="G715" s="48">
        <v>357.72</v>
      </c>
      <c r="H715" s="48">
        <f t="shared" si="236"/>
        <v>340.54944</v>
      </c>
      <c r="I715" s="48">
        <f t="shared" si="237"/>
        <v>681.09888000000001</v>
      </c>
      <c r="J715" s="49">
        <v>1.333</v>
      </c>
      <c r="K715" s="50">
        <f t="shared" ref="K715" si="249">F715*J715</f>
        <v>2.6659999999999999</v>
      </c>
      <c r="L715" s="50" t="s">
        <v>1076</v>
      </c>
      <c r="M715" s="48">
        <v>64.45</v>
      </c>
      <c r="N715" s="48">
        <f t="shared" si="239"/>
        <v>47.112949999999998</v>
      </c>
      <c r="O715" s="48">
        <f t="shared" si="240"/>
        <v>62.801562349999998</v>
      </c>
      <c r="P715" s="48">
        <f t="shared" si="241"/>
        <v>125.6031247</v>
      </c>
      <c r="Q715" s="48">
        <f t="shared" si="242"/>
        <v>806.70200469999997</v>
      </c>
      <c r="R715" s="41">
        <f t="shared" si="243"/>
        <v>1130.3221349788998</v>
      </c>
    </row>
    <row r="716" spans="2:18" ht="63.75" x14ac:dyDescent="0.2">
      <c r="B716" s="61">
        <f>IF(F716&lt;&gt;"",1+MAX($B$21:B715),"")</f>
        <v>435</v>
      </c>
      <c r="C716" s="197"/>
      <c r="D716" s="73" t="s">
        <v>685</v>
      </c>
      <c r="E716" s="14" t="s">
        <v>79</v>
      </c>
      <c r="F716" s="19">
        <v>2</v>
      </c>
      <c r="G716" s="48">
        <v>501.8</v>
      </c>
      <c r="H716" s="48">
        <f t="shared" si="236"/>
        <v>477.71359999999999</v>
      </c>
      <c r="I716" s="48">
        <f t="shared" si="237"/>
        <v>955.42719999999997</v>
      </c>
      <c r="J716" s="49">
        <v>1.75</v>
      </c>
      <c r="K716" s="50">
        <f t="shared" si="238"/>
        <v>3.5</v>
      </c>
      <c r="L716" s="50" t="s">
        <v>1076</v>
      </c>
      <c r="M716" s="48">
        <v>64.45</v>
      </c>
      <c r="N716" s="48">
        <f t="shared" si="239"/>
        <v>47.112949999999998</v>
      </c>
      <c r="O716" s="48">
        <f t="shared" si="240"/>
        <v>82.447662499999993</v>
      </c>
      <c r="P716" s="48">
        <f t="shared" si="241"/>
        <v>164.89532499999999</v>
      </c>
      <c r="Q716" s="48">
        <f t="shared" si="242"/>
        <v>1120.322525</v>
      </c>
      <c r="R716" s="41">
        <f t="shared" si="243"/>
        <v>1569.464170855</v>
      </c>
    </row>
    <row r="717" spans="2:18" x14ac:dyDescent="0.2">
      <c r="B717" s="61" t="str">
        <f>IF(F717&lt;&gt;"",1+MAX($B$21:B716),"")</f>
        <v/>
      </c>
      <c r="C717" s="67"/>
      <c r="D717" s="73"/>
      <c r="E717" s="14"/>
      <c r="F717" s="19"/>
      <c r="G717" s="48"/>
      <c r="H717" s="48">
        <f t="shared" si="236"/>
        <v>0</v>
      </c>
      <c r="I717" s="48">
        <f t="shared" si="237"/>
        <v>0</v>
      </c>
      <c r="J717" s="49"/>
      <c r="K717" s="50">
        <f t="shared" si="238"/>
        <v>0</v>
      </c>
      <c r="L717" s="50"/>
      <c r="M717" s="48"/>
      <c r="N717" s="48">
        <f t="shared" si="239"/>
        <v>0</v>
      </c>
      <c r="O717" s="48">
        <f t="shared" si="240"/>
        <v>0</v>
      </c>
      <c r="P717" s="48">
        <f t="shared" si="241"/>
        <v>0</v>
      </c>
      <c r="Q717" s="48">
        <f t="shared" si="242"/>
        <v>0</v>
      </c>
      <c r="R717" s="41">
        <f t="shared" si="243"/>
        <v>0</v>
      </c>
    </row>
    <row r="718" spans="2:18" x14ac:dyDescent="0.2">
      <c r="B718" s="62" t="str">
        <f>IF(F718&lt;&gt;"",1+MAX($B$21:B717),"")</f>
        <v/>
      </c>
      <c r="C718" s="68"/>
      <c r="D718" s="74" t="s">
        <v>695</v>
      </c>
      <c r="E718" s="14"/>
      <c r="F718" s="19"/>
      <c r="G718" s="48"/>
      <c r="H718" s="48">
        <f t="shared" si="236"/>
        <v>0</v>
      </c>
      <c r="I718" s="48">
        <f t="shared" si="237"/>
        <v>0</v>
      </c>
      <c r="J718" s="49"/>
      <c r="K718" s="50">
        <f t="shared" si="238"/>
        <v>0</v>
      </c>
      <c r="L718" s="50"/>
      <c r="M718" s="48"/>
      <c r="N718" s="48">
        <f t="shared" si="239"/>
        <v>0</v>
      </c>
      <c r="O718" s="48">
        <f t="shared" si="240"/>
        <v>0</v>
      </c>
      <c r="P718" s="48">
        <f t="shared" si="241"/>
        <v>0</v>
      </c>
      <c r="Q718" s="48">
        <f t="shared" si="242"/>
        <v>0</v>
      </c>
      <c r="R718" s="41">
        <f t="shared" si="243"/>
        <v>0</v>
      </c>
    </row>
    <row r="719" spans="2:18" ht="76.5" x14ac:dyDescent="0.2">
      <c r="B719" s="61">
        <f>IF(F719&lt;&gt;"",1+MAX($B$21:B718),"")</f>
        <v>436</v>
      </c>
      <c r="C719" s="67" t="s">
        <v>701</v>
      </c>
      <c r="D719" s="73" t="s">
        <v>678</v>
      </c>
      <c r="E719" s="14" t="s">
        <v>79</v>
      </c>
      <c r="F719" s="19">
        <v>1</v>
      </c>
      <c r="G719" s="48">
        <f>232.05+140.97</f>
        <v>373.02</v>
      </c>
      <c r="H719" s="48">
        <f t="shared" si="236"/>
        <v>355.11503999999996</v>
      </c>
      <c r="I719" s="48">
        <f t="shared" si="237"/>
        <v>355.11503999999996</v>
      </c>
      <c r="J719" s="49">
        <v>1.5</v>
      </c>
      <c r="K719" s="50">
        <f t="shared" si="238"/>
        <v>1.5</v>
      </c>
      <c r="L719" s="50" t="s">
        <v>1076</v>
      </c>
      <c r="M719" s="48">
        <v>64.45</v>
      </c>
      <c r="N719" s="48">
        <f t="shared" si="239"/>
        <v>47.112949999999998</v>
      </c>
      <c r="O719" s="48">
        <f t="shared" si="240"/>
        <v>70.66942499999999</v>
      </c>
      <c r="P719" s="48">
        <f t="shared" si="241"/>
        <v>70.66942499999999</v>
      </c>
      <c r="Q719" s="48">
        <f t="shared" si="242"/>
        <v>425.78446499999995</v>
      </c>
      <c r="R719" s="41">
        <f t="shared" si="243"/>
        <v>596.72791133099997</v>
      </c>
    </row>
    <row r="720" spans="2:18" x14ac:dyDescent="0.2">
      <c r="B720" s="61" t="str">
        <f>IF(F720&lt;&gt;"",1+MAX($B$21:B719),"")</f>
        <v/>
      </c>
      <c r="C720" s="67"/>
      <c r="D720" s="73"/>
      <c r="E720" s="14"/>
      <c r="F720" s="19"/>
      <c r="G720" s="48"/>
      <c r="H720" s="48">
        <f t="shared" si="236"/>
        <v>0</v>
      </c>
      <c r="I720" s="48">
        <f t="shared" si="237"/>
        <v>0</v>
      </c>
      <c r="J720" s="49"/>
      <c r="K720" s="50">
        <f t="shared" si="238"/>
        <v>0</v>
      </c>
      <c r="L720" s="50"/>
      <c r="M720" s="48"/>
      <c r="N720" s="48">
        <f t="shared" si="239"/>
        <v>0</v>
      </c>
      <c r="O720" s="48">
        <f t="shared" si="240"/>
        <v>0</v>
      </c>
      <c r="P720" s="48">
        <f t="shared" si="241"/>
        <v>0</v>
      </c>
      <c r="Q720" s="48">
        <f t="shared" si="242"/>
        <v>0</v>
      </c>
      <c r="R720" s="41">
        <f t="shared" si="243"/>
        <v>0</v>
      </c>
    </row>
    <row r="721" spans="2:18" x14ac:dyDescent="0.2">
      <c r="B721" s="62" t="str">
        <f>IF(F721&lt;&gt;"",1+MAX($B$21:B720),"")</f>
        <v/>
      </c>
      <c r="C721" s="68"/>
      <c r="D721" s="74" t="s">
        <v>696</v>
      </c>
      <c r="E721" s="14"/>
      <c r="F721" s="19"/>
      <c r="G721" s="48"/>
      <c r="H721" s="48">
        <f t="shared" si="236"/>
        <v>0</v>
      </c>
      <c r="I721" s="48">
        <f t="shared" si="237"/>
        <v>0</v>
      </c>
      <c r="J721" s="49"/>
      <c r="K721" s="50">
        <f t="shared" si="238"/>
        <v>0</v>
      </c>
      <c r="L721" s="50"/>
      <c r="M721" s="48"/>
      <c r="N721" s="48">
        <f t="shared" si="239"/>
        <v>0</v>
      </c>
      <c r="O721" s="48">
        <f t="shared" si="240"/>
        <v>0</v>
      </c>
      <c r="P721" s="48">
        <f t="shared" si="241"/>
        <v>0</v>
      </c>
      <c r="Q721" s="48">
        <f t="shared" si="242"/>
        <v>0</v>
      </c>
      <c r="R721" s="41">
        <f t="shared" si="243"/>
        <v>0</v>
      </c>
    </row>
    <row r="722" spans="2:18" ht="63.75" x14ac:dyDescent="0.2">
      <c r="B722" s="61">
        <f>IF(F722&lt;&gt;"",1+MAX($B$21:B721),"")</f>
        <v>437</v>
      </c>
      <c r="C722" s="67" t="s">
        <v>700</v>
      </c>
      <c r="D722" s="73" t="s">
        <v>681</v>
      </c>
      <c r="E722" s="14" t="s">
        <v>79</v>
      </c>
      <c r="F722" s="19">
        <v>2</v>
      </c>
      <c r="G722" s="48">
        <v>203.06</v>
      </c>
      <c r="H722" s="48">
        <f t="shared" si="236"/>
        <v>193.31312</v>
      </c>
      <c r="I722" s="48">
        <f t="shared" si="237"/>
        <v>386.62624</v>
      </c>
      <c r="J722" s="49">
        <v>0.8</v>
      </c>
      <c r="K722" s="50">
        <f t="shared" si="238"/>
        <v>1.6</v>
      </c>
      <c r="L722" s="50" t="s">
        <v>1076</v>
      </c>
      <c r="M722" s="48">
        <v>64.45</v>
      </c>
      <c r="N722" s="48">
        <f t="shared" si="239"/>
        <v>47.112949999999998</v>
      </c>
      <c r="O722" s="48">
        <f t="shared" si="240"/>
        <v>37.690359999999998</v>
      </c>
      <c r="P722" s="48">
        <f t="shared" si="241"/>
        <v>75.380719999999997</v>
      </c>
      <c r="Q722" s="48">
        <f t="shared" si="242"/>
        <v>462.00695999999999</v>
      </c>
      <c r="R722" s="41">
        <f t="shared" si="243"/>
        <v>647.45316897600003</v>
      </c>
    </row>
    <row r="723" spans="2:18" x14ac:dyDescent="0.2">
      <c r="B723" s="61" t="str">
        <f>IF(F723&lt;&gt;"",1+MAX($B$21:B722),"")</f>
        <v/>
      </c>
      <c r="C723" s="67"/>
      <c r="D723" s="73"/>
      <c r="E723" s="14"/>
      <c r="F723" s="19"/>
      <c r="G723" s="48"/>
      <c r="H723" s="48">
        <f t="shared" si="236"/>
        <v>0</v>
      </c>
      <c r="I723" s="48">
        <f t="shared" si="237"/>
        <v>0</v>
      </c>
      <c r="J723" s="49"/>
      <c r="K723" s="50">
        <f t="shared" si="238"/>
        <v>0</v>
      </c>
      <c r="L723" s="50"/>
      <c r="M723" s="48"/>
      <c r="N723" s="48">
        <f t="shared" si="239"/>
        <v>0</v>
      </c>
      <c r="O723" s="48">
        <f t="shared" si="240"/>
        <v>0</v>
      </c>
      <c r="P723" s="48">
        <f t="shared" si="241"/>
        <v>0</v>
      </c>
      <c r="Q723" s="48">
        <f t="shared" si="242"/>
        <v>0</v>
      </c>
      <c r="R723" s="41">
        <f t="shared" si="243"/>
        <v>0</v>
      </c>
    </row>
    <row r="724" spans="2:18" x14ac:dyDescent="0.2">
      <c r="B724" s="62" t="str">
        <f>IF(F724&lt;&gt;"",1+MAX($B$21:B723),"")</f>
        <v/>
      </c>
      <c r="C724" s="68"/>
      <c r="D724" s="74" t="s">
        <v>697</v>
      </c>
      <c r="E724" s="14"/>
      <c r="F724" s="19"/>
      <c r="G724" s="48"/>
      <c r="H724" s="48">
        <f t="shared" si="236"/>
        <v>0</v>
      </c>
      <c r="I724" s="48">
        <f t="shared" si="237"/>
        <v>0</v>
      </c>
      <c r="J724" s="49"/>
      <c r="K724" s="50">
        <f t="shared" si="238"/>
        <v>0</v>
      </c>
      <c r="L724" s="50"/>
      <c r="M724" s="48"/>
      <c r="N724" s="48">
        <f t="shared" si="239"/>
        <v>0</v>
      </c>
      <c r="O724" s="48">
        <f t="shared" si="240"/>
        <v>0</v>
      </c>
      <c r="P724" s="48">
        <f t="shared" si="241"/>
        <v>0</v>
      </c>
      <c r="Q724" s="48">
        <f t="shared" si="242"/>
        <v>0</v>
      </c>
      <c r="R724" s="41">
        <f t="shared" si="243"/>
        <v>0</v>
      </c>
    </row>
    <row r="725" spans="2:18" ht="63.75" x14ac:dyDescent="0.2">
      <c r="B725" s="61">
        <f>IF(F725&lt;&gt;"",1+MAX($B$21:B724),"")</f>
        <v>438</v>
      </c>
      <c r="C725" s="67" t="s">
        <v>700</v>
      </c>
      <c r="D725" s="73" t="s">
        <v>691</v>
      </c>
      <c r="E725" s="14" t="s">
        <v>79</v>
      </c>
      <c r="F725" s="19">
        <v>2</v>
      </c>
      <c r="G725" s="48">
        <v>450.99</v>
      </c>
      <c r="H725" s="48">
        <f t="shared" ref="H725:H738" si="250">G725*$T$2</f>
        <v>429.34247999999997</v>
      </c>
      <c r="I725" s="48">
        <f t="shared" ref="I725:I738" si="251">F725*H725</f>
        <v>858.68495999999993</v>
      </c>
      <c r="J725" s="49">
        <v>1.5</v>
      </c>
      <c r="K725" s="50">
        <f t="shared" ref="K725:K738" si="252">F725*J725</f>
        <v>3</v>
      </c>
      <c r="L725" s="50" t="s">
        <v>1076</v>
      </c>
      <c r="M725" s="48">
        <v>64.45</v>
      </c>
      <c r="N725" s="48">
        <f t="shared" ref="N725:N738" si="253">M725*$U$2</f>
        <v>47.112949999999998</v>
      </c>
      <c r="O725" s="48">
        <f t="shared" ref="O725:O738" si="254">J725*N725</f>
        <v>70.66942499999999</v>
      </c>
      <c r="P725" s="48">
        <f t="shared" ref="P725:P738" si="255">F725*O725</f>
        <v>141.33884999999998</v>
      </c>
      <c r="Q725" s="48">
        <f t="shared" ref="Q725:Q738" si="256">I725+P725</f>
        <v>1000.0238099999999</v>
      </c>
      <c r="R725" s="41">
        <f t="shared" ref="R725:R738" si="257">Q725+(I725*$Q$7)+(P725*$Q$8)+(Q725*$Q$9)+(Q725*$Q$11)+($Q$10*(Q725+(I725*$Q$7)+(P725*$Q$8)+(Q725*$Q$9)))</f>
        <v>1400.7582170939995</v>
      </c>
    </row>
    <row r="726" spans="2:18" x14ac:dyDescent="0.2">
      <c r="B726" s="61" t="str">
        <f>IF(F726&lt;&gt;"",1+MAX($B$21:B725),"")</f>
        <v/>
      </c>
      <c r="C726" s="67"/>
      <c r="D726" s="73"/>
      <c r="E726" s="14"/>
      <c r="F726" s="19"/>
      <c r="G726" s="48"/>
      <c r="H726" s="48">
        <f t="shared" si="250"/>
        <v>0</v>
      </c>
      <c r="I726" s="48">
        <f t="shared" si="251"/>
        <v>0</v>
      </c>
      <c r="J726" s="49"/>
      <c r="K726" s="50">
        <f t="shared" si="252"/>
        <v>0</v>
      </c>
      <c r="L726" s="50"/>
      <c r="M726" s="48"/>
      <c r="N726" s="48">
        <f t="shared" si="253"/>
        <v>0</v>
      </c>
      <c r="O726" s="48">
        <f t="shared" si="254"/>
        <v>0</v>
      </c>
      <c r="P726" s="48">
        <f t="shared" si="255"/>
        <v>0</v>
      </c>
      <c r="Q726" s="48">
        <f t="shared" si="256"/>
        <v>0</v>
      </c>
      <c r="R726" s="41">
        <f t="shared" si="257"/>
        <v>0</v>
      </c>
    </row>
    <row r="727" spans="2:18" x14ac:dyDescent="0.2">
      <c r="B727" s="62" t="str">
        <f>IF(F727&lt;&gt;"",1+MAX($B$21:B726),"")</f>
        <v/>
      </c>
      <c r="C727" s="68"/>
      <c r="D727" s="74" t="s">
        <v>694</v>
      </c>
      <c r="E727" s="14"/>
      <c r="F727" s="19"/>
      <c r="G727" s="48"/>
      <c r="H727" s="48">
        <f t="shared" si="250"/>
        <v>0</v>
      </c>
      <c r="I727" s="48">
        <f t="shared" si="251"/>
        <v>0</v>
      </c>
      <c r="J727" s="49"/>
      <c r="K727" s="50">
        <f t="shared" si="252"/>
        <v>0</v>
      </c>
      <c r="L727" s="50"/>
      <c r="M727" s="48"/>
      <c r="N727" s="48">
        <f t="shared" si="253"/>
        <v>0</v>
      </c>
      <c r="O727" s="48">
        <f t="shared" si="254"/>
        <v>0</v>
      </c>
      <c r="P727" s="48">
        <f t="shared" si="255"/>
        <v>0</v>
      </c>
      <c r="Q727" s="48">
        <f t="shared" si="256"/>
        <v>0</v>
      </c>
      <c r="R727" s="41">
        <f t="shared" si="257"/>
        <v>0</v>
      </c>
    </row>
    <row r="728" spans="2:18" ht="51" x14ac:dyDescent="0.2">
      <c r="B728" s="61">
        <f>IF(F728&lt;&gt;"",1+MAX($B$21:B727),"")</f>
        <v>439</v>
      </c>
      <c r="C728" s="198" t="s">
        <v>702</v>
      </c>
      <c r="D728" s="73" t="s">
        <v>689</v>
      </c>
      <c r="E728" s="14" t="s">
        <v>79</v>
      </c>
      <c r="F728" s="19">
        <v>1</v>
      </c>
      <c r="G728" s="48">
        <v>44.17</v>
      </c>
      <c r="H728" s="48">
        <f t="shared" si="250"/>
        <v>42.049840000000003</v>
      </c>
      <c r="I728" s="48">
        <f t="shared" si="251"/>
        <v>42.049840000000003</v>
      </c>
      <c r="J728" s="49">
        <v>0.35</v>
      </c>
      <c r="K728" s="50">
        <f t="shared" si="252"/>
        <v>0.35</v>
      </c>
      <c r="L728" s="50" t="s">
        <v>1076</v>
      </c>
      <c r="M728" s="48">
        <v>64.45</v>
      </c>
      <c r="N728" s="48">
        <f t="shared" si="253"/>
        <v>47.112949999999998</v>
      </c>
      <c r="O728" s="48">
        <f t="shared" si="254"/>
        <v>16.489532499999999</v>
      </c>
      <c r="P728" s="48">
        <f t="shared" si="255"/>
        <v>16.489532499999999</v>
      </c>
      <c r="Q728" s="48">
        <f t="shared" si="256"/>
        <v>58.539372499999999</v>
      </c>
      <c r="R728" s="41">
        <f t="shared" si="257"/>
        <v>82.248959453499992</v>
      </c>
    </row>
    <row r="729" spans="2:18" ht="89.25" x14ac:dyDescent="0.2">
      <c r="B729" s="61">
        <f>IF(F729&lt;&gt;"",1+MAX($B$21:B728),"")</f>
        <v>440</v>
      </c>
      <c r="C729" s="197"/>
      <c r="D729" s="73" t="s">
        <v>690</v>
      </c>
      <c r="E729" s="14" t="s">
        <v>79</v>
      </c>
      <c r="F729" s="19">
        <v>1</v>
      </c>
      <c r="G729" s="48">
        <v>5.75</v>
      </c>
      <c r="H729" s="48">
        <f t="shared" si="250"/>
        <v>5.4740000000000002</v>
      </c>
      <c r="I729" s="48">
        <f t="shared" si="251"/>
        <v>5.4740000000000002</v>
      </c>
      <c r="J729" s="49">
        <v>0.09</v>
      </c>
      <c r="K729" s="50">
        <f t="shared" si="252"/>
        <v>0.09</v>
      </c>
      <c r="L729" s="50" t="s">
        <v>1076</v>
      </c>
      <c r="M729" s="48">
        <v>64.45</v>
      </c>
      <c r="N729" s="48">
        <f t="shared" si="253"/>
        <v>47.112949999999998</v>
      </c>
      <c r="O729" s="48">
        <f t="shared" si="254"/>
        <v>4.2401654999999998</v>
      </c>
      <c r="P729" s="48">
        <f t="shared" si="255"/>
        <v>4.2401654999999998</v>
      </c>
      <c r="Q729" s="48">
        <f t="shared" si="256"/>
        <v>9.7141655</v>
      </c>
      <c r="R729" s="41">
        <f t="shared" si="257"/>
        <v>13.694609768499999</v>
      </c>
    </row>
    <row r="730" spans="2:18" x14ac:dyDescent="0.2">
      <c r="B730" s="61" t="str">
        <f>IF(F730&lt;&gt;"",1+MAX($B$21:B729),"")</f>
        <v/>
      </c>
      <c r="C730" s="67"/>
      <c r="D730" s="73"/>
      <c r="E730" s="14"/>
      <c r="F730" s="19"/>
      <c r="G730" s="48"/>
      <c r="H730" s="48">
        <f t="shared" si="250"/>
        <v>0</v>
      </c>
      <c r="I730" s="48">
        <f t="shared" si="251"/>
        <v>0</v>
      </c>
      <c r="J730" s="49"/>
      <c r="K730" s="50">
        <f t="shared" si="252"/>
        <v>0</v>
      </c>
      <c r="L730" s="50"/>
      <c r="M730" s="48"/>
      <c r="N730" s="48">
        <f t="shared" si="253"/>
        <v>0</v>
      </c>
      <c r="O730" s="48">
        <f t="shared" si="254"/>
        <v>0</v>
      </c>
      <c r="P730" s="48">
        <f t="shared" si="255"/>
        <v>0</v>
      </c>
      <c r="Q730" s="48">
        <f t="shared" si="256"/>
        <v>0</v>
      </c>
      <c r="R730" s="41">
        <f t="shared" si="257"/>
        <v>0</v>
      </c>
    </row>
    <row r="731" spans="2:18" x14ac:dyDescent="0.2">
      <c r="B731" s="62" t="str">
        <f>IF(F731&lt;&gt;"",1+MAX($B$21:B730),"")</f>
        <v/>
      </c>
      <c r="C731" s="68"/>
      <c r="D731" s="74" t="s">
        <v>132</v>
      </c>
      <c r="E731" s="14"/>
      <c r="F731" s="19"/>
      <c r="G731" s="48"/>
      <c r="H731" s="48">
        <f t="shared" si="250"/>
        <v>0</v>
      </c>
      <c r="I731" s="48">
        <f t="shared" si="251"/>
        <v>0</v>
      </c>
      <c r="J731" s="49"/>
      <c r="K731" s="50">
        <f t="shared" si="252"/>
        <v>0</v>
      </c>
      <c r="L731" s="50"/>
      <c r="M731" s="48"/>
      <c r="N731" s="48">
        <f t="shared" si="253"/>
        <v>0</v>
      </c>
      <c r="O731" s="48">
        <f t="shared" si="254"/>
        <v>0</v>
      </c>
      <c r="P731" s="48">
        <f t="shared" si="255"/>
        <v>0</v>
      </c>
      <c r="Q731" s="48">
        <f t="shared" si="256"/>
        <v>0</v>
      </c>
      <c r="R731" s="41">
        <f t="shared" si="257"/>
        <v>0</v>
      </c>
    </row>
    <row r="732" spans="2:18" x14ac:dyDescent="0.2">
      <c r="B732" s="61">
        <f>IF(F732&lt;&gt;"",1+MAX($B$21:B731),"")</f>
        <v>441</v>
      </c>
      <c r="C732" s="195" t="s">
        <v>702</v>
      </c>
      <c r="D732" s="73" t="s">
        <v>664</v>
      </c>
      <c r="E732" s="14" t="s">
        <v>79</v>
      </c>
      <c r="F732" s="19">
        <v>1</v>
      </c>
      <c r="G732" s="48">
        <v>103</v>
      </c>
      <c r="H732" s="48">
        <f t="shared" si="250"/>
        <v>98.055999999999997</v>
      </c>
      <c r="I732" s="48">
        <f t="shared" si="251"/>
        <v>98.055999999999997</v>
      </c>
      <c r="J732" s="49">
        <v>0.55000000000000004</v>
      </c>
      <c r="K732" s="50">
        <f t="shared" si="252"/>
        <v>0.55000000000000004</v>
      </c>
      <c r="L732" s="50" t="s">
        <v>1076</v>
      </c>
      <c r="M732" s="48">
        <v>64.45</v>
      </c>
      <c r="N732" s="48">
        <f t="shared" si="253"/>
        <v>47.112949999999998</v>
      </c>
      <c r="O732" s="48">
        <f t="shared" si="254"/>
        <v>25.912122500000002</v>
      </c>
      <c r="P732" s="48">
        <f t="shared" si="255"/>
        <v>25.912122500000002</v>
      </c>
      <c r="Q732" s="48">
        <f t="shared" si="256"/>
        <v>123.96812249999999</v>
      </c>
      <c r="R732" s="41">
        <f t="shared" si="257"/>
        <v>173.90199720749999</v>
      </c>
    </row>
    <row r="733" spans="2:18" x14ac:dyDescent="0.2">
      <c r="B733" s="61">
        <f>IF(F733&lt;&gt;"",1+MAX($B$21:B732),"")</f>
        <v>442</v>
      </c>
      <c r="C733" s="195"/>
      <c r="D733" s="73" t="s">
        <v>665</v>
      </c>
      <c r="E733" s="14" t="s">
        <v>79</v>
      </c>
      <c r="F733" s="19">
        <v>2</v>
      </c>
      <c r="G733" s="48">
        <v>28.8</v>
      </c>
      <c r="H733" s="48">
        <f t="shared" si="250"/>
        <v>27.4176</v>
      </c>
      <c r="I733" s="48">
        <f t="shared" si="251"/>
        <v>54.8352</v>
      </c>
      <c r="J733" s="49">
        <v>0.3</v>
      </c>
      <c r="K733" s="50">
        <f t="shared" si="252"/>
        <v>0.6</v>
      </c>
      <c r="L733" s="50" t="s">
        <v>1076</v>
      </c>
      <c r="M733" s="48">
        <v>64.45</v>
      </c>
      <c r="N733" s="48">
        <f t="shared" si="253"/>
        <v>47.112949999999998</v>
      </c>
      <c r="O733" s="48">
        <f t="shared" si="254"/>
        <v>14.133884999999999</v>
      </c>
      <c r="P733" s="48">
        <f t="shared" si="255"/>
        <v>28.267769999999999</v>
      </c>
      <c r="Q733" s="48">
        <f t="shared" si="256"/>
        <v>83.102969999999999</v>
      </c>
      <c r="R733" s="41">
        <f t="shared" si="257"/>
        <v>116.90998107000001</v>
      </c>
    </row>
    <row r="734" spans="2:18" x14ac:dyDescent="0.2">
      <c r="B734" s="61">
        <f>IF(F734&lt;&gt;"",1+MAX($B$21:B733),"")</f>
        <v>443</v>
      </c>
      <c r="C734" s="195"/>
      <c r="D734" s="73" t="s">
        <v>666</v>
      </c>
      <c r="E734" s="14" t="s">
        <v>79</v>
      </c>
      <c r="F734" s="19">
        <v>2</v>
      </c>
      <c r="G734" s="48">
        <v>28.8</v>
      </c>
      <c r="H734" s="48">
        <f t="shared" si="250"/>
        <v>27.4176</v>
      </c>
      <c r="I734" s="48">
        <f t="shared" si="251"/>
        <v>54.8352</v>
      </c>
      <c r="J734" s="49">
        <v>0.3</v>
      </c>
      <c r="K734" s="50">
        <f t="shared" si="252"/>
        <v>0.6</v>
      </c>
      <c r="L734" s="50" t="s">
        <v>1076</v>
      </c>
      <c r="M734" s="48">
        <v>64.45</v>
      </c>
      <c r="N734" s="48">
        <f t="shared" si="253"/>
        <v>47.112949999999998</v>
      </c>
      <c r="O734" s="48">
        <f t="shared" si="254"/>
        <v>14.133884999999999</v>
      </c>
      <c r="P734" s="48">
        <f t="shared" si="255"/>
        <v>28.267769999999999</v>
      </c>
      <c r="Q734" s="48">
        <f t="shared" si="256"/>
        <v>83.102969999999999</v>
      </c>
      <c r="R734" s="41">
        <f t="shared" si="257"/>
        <v>116.90998107000001</v>
      </c>
    </row>
    <row r="735" spans="2:18" x14ac:dyDescent="0.2">
      <c r="B735" s="61" t="str">
        <f>IF(F735&lt;&gt;"",1+MAX($B$21:B734),"")</f>
        <v/>
      </c>
      <c r="C735" s="67"/>
      <c r="D735" s="73"/>
      <c r="E735" s="14"/>
      <c r="F735" s="19"/>
      <c r="G735" s="48"/>
      <c r="H735" s="48">
        <f t="shared" si="250"/>
        <v>0</v>
      </c>
      <c r="I735" s="48">
        <f t="shared" si="251"/>
        <v>0</v>
      </c>
      <c r="J735" s="49"/>
      <c r="K735" s="50">
        <f t="shared" si="252"/>
        <v>0</v>
      </c>
      <c r="L735" s="50"/>
      <c r="M735" s="48"/>
      <c r="N735" s="48">
        <f t="shared" si="253"/>
        <v>0</v>
      </c>
      <c r="O735" s="48">
        <f t="shared" si="254"/>
        <v>0</v>
      </c>
      <c r="P735" s="48">
        <f t="shared" si="255"/>
        <v>0</v>
      </c>
      <c r="Q735" s="48">
        <f t="shared" si="256"/>
        <v>0</v>
      </c>
      <c r="R735" s="41">
        <f t="shared" si="257"/>
        <v>0</v>
      </c>
    </row>
    <row r="736" spans="2:18" x14ac:dyDescent="0.2">
      <c r="B736" s="62" t="str">
        <f>IF(F736&lt;&gt;"",1+MAX($B$21:B735),"")</f>
        <v/>
      </c>
      <c r="C736" s="68"/>
      <c r="D736" s="74" t="s">
        <v>670</v>
      </c>
      <c r="E736" s="14"/>
      <c r="F736" s="19"/>
      <c r="G736" s="48"/>
      <c r="H736" s="48">
        <f t="shared" si="250"/>
        <v>0</v>
      </c>
      <c r="I736" s="48">
        <f t="shared" si="251"/>
        <v>0</v>
      </c>
      <c r="J736" s="49"/>
      <c r="K736" s="50">
        <f t="shared" si="252"/>
        <v>0</v>
      </c>
      <c r="L736" s="50"/>
      <c r="M736" s="48"/>
      <c r="N736" s="48">
        <f t="shared" si="253"/>
        <v>0</v>
      </c>
      <c r="O736" s="48">
        <f t="shared" si="254"/>
        <v>0</v>
      </c>
      <c r="P736" s="48">
        <f t="shared" si="255"/>
        <v>0</v>
      </c>
      <c r="Q736" s="48">
        <f t="shared" si="256"/>
        <v>0</v>
      </c>
      <c r="R736" s="41">
        <f t="shared" si="257"/>
        <v>0</v>
      </c>
    </row>
    <row r="737" spans="2:19" x14ac:dyDescent="0.2">
      <c r="B737" s="61">
        <f>IF(F737&lt;&gt;"",1+MAX($B$21:B736),"")</f>
        <v>444</v>
      </c>
      <c r="C737" s="67" t="s">
        <v>703</v>
      </c>
      <c r="D737" s="73" t="s">
        <v>667</v>
      </c>
      <c r="E737" s="14" t="s">
        <v>79</v>
      </c>
      <c r="F737" s="19">
        <v>1</v>
      </c>
      <c r="G737" s="205"/>
      <c r="H737" s="205">
        <f t="shared" si="250"/>
        <v>0</v>
      </c>
      <c r="I737" s="205">
        <f t="shared" si="251"/>
        <v>0</v>
      </c>
      <c r="J737" s="206"/>
      <c r="K737" s="207">
        <f t="shared" si="252"/>
        <v>0</v>
      </c>
      <c r="L737" s="207"/>
      <c r="M737" s="205"/>
      <c r="N737" s="205">
        <f t="shared" si="253"/>
        <v>0</v>
      </c>
      <c r="O737" s="205">
        <f t="shared" si="254"/>
        <v>0</v>
      </c>
      <c r="P737" s="205">
        <f t="shared" si="255"/>
        <v>0</v>
      </c>
      <c r="Q737" s="205">
        <f t="shared" si="256"/>
        <v>0</v>
      </c>
      <c r="R737" s="112">
        <f t="shared" si="257"/>
        <v>0</v>
      </c>
    </row>
    <row r="738" spans="2:19" ht="13.5" thickBot="1" x14ac:dyDescent="0.25">
      <c r="B738" s="61" t="str">
        <f>IF(F738&lt;&gt;"",1+MAX($B$21:B737),"")</f>
        <v/>
      </c>
      <c r="C738" s="67"/>
      <c r="D738" s="73"/>
      <c r="E738" s="14"/>
      <c r="F738" s="19"/>
      <c r="G738" s="48"/>
      <c r="H738" s="48">
        <f t="shared" si="250"/>
        <v>0</v>
      </c>
      <c r="I738" s="48">
        <f t="shared" si="251"/>
        <v>0</v>
      </c>
      <c r="J738" s="49"/>
      <c r="K738" s="50">
        <f t="shared" si="252"/>
        <v>0</v>
      </c>
      <c r="L738" s="50"/>
      <c r="M738" s="48"/>
      <c r="N738" s="48">
        <f t="shared" si="253"/>
        <v>0</v>
      </c>
      <c r="O738" s="48">
        <f t="shared" si="254"/>
        <v>0</v>
      </c>
      <c r="P738" s="48">
        <f t="shared" si="255"/>
        <v>0</v>
      </c>
      <c r="Q738" s="48">
        <f t="shared" si="256"/>
        <v>0</v>
      </c>
      <c r="R738" s="41">
        <f t="shared" si="257"/>
        <v>0</v>
      </c>
    </row>
    <row r="739" spans="2:19" s="9" customFormat="1" ht="26.25" thickBot="1" x14ac:dyDescent="0.25">
      <c r="B739" s="59" t="str">
        <f>IF(F739&lt;&gt;"",1+MAX($B$21:B738),"")</f>
        <v/>
      </c>
      <c r="C739" s="65" t="s">
        <v>52</v>
      </c>
      <c r="D739" s="72" t="s">
        <v>25</v>
      </c>
      <c r="E739" s="51"/>
      <c r="F739" s="51"/>
      <c r="G739" s="51"/>
      <c r="H739" s="52" t="s">
        <v>61</v>
      </c>
      <c r="I739" s="53">
        <f>SUM(I740:I821)</f>
        <v>42087.746260000014</v>
      </c>
      <c r="J739" s="54"/>
      <c r="K739" s="55" t="str">
        <f>ROUND(SUM(K740:K821),0) &amp; " " &amp; "HRS"</f>
        <v>320 HRS</v>
      </c>
      <c r="L739" s="56"/>
      <c r="M739" s="56"/>
      <c r="N739" s="56"/>
      <c r="O739" s="52" t="s">
        <v>62</v>
      </c>
      <c r="P739" s="53">
        <f>SUM(P740:P821)</f>
        <v>13605.134247367003</v>
      </c>
      <c r="Q739" s="57">
        <f>SUM(Q740:Q821)</f>
        <v>55692.880507367001</v>
      </c>
      <c r="R739" s="58">
        <f>(Q739)+(I739*$Q$7)+(P739*$Q$8)+(Q739*$Q$9)+($Q$10*((Q739)+(I739*$Q$7)+(P739*$Q$8)+(Q739*$Q$9)))+(Q739*$Q$11)</f>
        <v>78185.855448456728</v>
      </c>
    </row>
    <row r="740" spans="2:19" x14ac:dyDescent="0.2">
      <c r="B740" s="61" t="str">
        <f>IF(F740&lt;&gt;"",1+MAX($B$21:B739),"")</f>
        <v/>
      </c>
      <c r="C740" s="67"/>
      <c r="D740" s="73"/>
      <c r="E740" s="14"/>
      <c r="F740" s="19"/>
      <c r="G740" s="48"/>
      <c r="H740" s="48">
        <f t="shared" ref="H740:H803" si="258">G740*$T$2</f>
        <v>0</v>
      </c>
      <c r="I740" s="48">
        <f t="shared" ref="I740:I803" si="259">F740*H740</f>
        <v>0</v>
      </c>
      <c r="J740" s="49"/>
      <c r="K740" s="50">
        <f t="shared" ref="K740:K803" si="260">F740*J740</f>
        <v>0</v>
      </c>
      <c r="L740" s="50"/>
      <c r="M740" s="48"/>
      <c r="N740" s="48">
        <f t="shared" ref="N740:N803" si="261">M740*$U$2</f>
        <v>0</v>
      </c>
      <c r="O740" s="48">
        <f t="shared" ref="O740:O803" si="262">J740*N740</f>
        <v>0</v>
      </c>
      <c r="P740" s="48">
        <f t="shared" ref="P740:P803" si="263">F740*O740</f>
        <v>0</v>
      </c>
      <c r="Q740" s="48">
        <f t="shared" ref="Q740:Q803" si="264">I740+P740</f>
        <v>0</v>
      </c>
      <c r="R740" s="41">
        <f t="shared" ref="R740:R803" si="265">Q740+(I740*$Q$7)+(P740*$Q$8)+(Q740*$Q$9)+(Q740*$Q$11)+($Q$10*(Q740+(I740*$Q$7)+(P740*$Q$8)+(Q740*$Q$9)))</f>
        <v>0</v>
      </c>
      <c r="S740" s="9"/>
    </row>
    <row r="741" spans="2:19" x14ac:dyDescent="0.2">
      <c r="B741" s="62" t="str">
        <f>IF(F741&lt;&gt;"",1+MAX($B$21:B740),"")</f>
        <v/>
      </c>
      <c r="C741" s="68"/>
      <c r="D741" s="74" t="s">
        <v>135</v>
      </c>
      <c r="E741" s="14"/>
      <c r="F741" s="19"/>
      <c r="G741" s="48"/>
      <c r="H741" s="48">
        <f t="shared" si="258"/>
        <v>0</v>
      </c>
      <c r="I741" s="48">
        <f t="shared" si="259"/>
        <v>0</v>
      </c>
      <c r="J741" s="49"/>
      <c r="K741" s="50">
        <f t="shared" si="260"/>
        <v>0</v>
      </c>
      <c r="L741" s="50"/>
      <c r="M741" s="48"/>
      <c r="N741" s="48">
        <f t="shared" si="261"/>
        <v>0</v>
      </c>
      <c r="O741" s="48">
        <f t="shared" si="262"/>
        <v>0</v>
      </c>
      <c r="P741" s="48">
        <f t="shared" si="263"/>
        <v>0</v>
      </c>
      <c r="Q741" s="48">
        <f t="shared" si="264"/>
        <v>0</v>
      </c>
      <c r="R741" s="41">
        <f t="shared" si="265"/>
        <v>0</v>
      </c>
    </row>
    <row r="742" spans="2:19" ht="25.5" x14ac:dyDescent="0.2">
      <c r="B742" s="61">
        <f>IF(F742&lt;&gt;"",1+MAX($B$21:B741),"")</f>
        <v>445</v>
      </c>
      <c r="C742" s="67"/>
      <c r="D742" s="73" t="s">
        <v>644</v>
      </c>
      <c r="E742" s="14" t="s">
        <v>60</v>
      </c>
      <c r="F742" s="25">
        <v>1</v>
      </c>
      <c r="G742" s="48">
        <v>1264.5</v>
      </c>
      <c r="H742" s="48">
        <f t="shared" si="258"/>
        <v>1203.8039999999999</v>
      </c>
      <c r="I742" s="48">
        <f t="shared" si="259"/>
        <v>1203.8039999999999</v>
      </c>
      <c r="J742" s="49">
        <v>27</v>
      </c>
      <c r="K742" s="50">
        <f t="shared" si="260"/>
        <v>27</v>
      </c>
      <c r="L742" s="50" t="s">
        <v>1083</v>
      </c>
      <c r="M742" s="48">
        <v>59</v>
      </c>
      <c r="N742" s="48">
        <f t="shared" si="261"/>
        <v>43.128999999999998</v>
      </c>
      <c r="O742" s="48">
        <f t="shared" si="262"/>
        <v>1164.4829999999999</v>
      </c>
      <c r="P742" s="48">
        <f t="shared" si="263"/>
        <v>1164.4829999999999</v>
      </c>
      <c r="Q742" s="48">
        <f t="shared" si="264"/>
        <v>2368.2869999999998</v>
      </c>
      <c r="R742" s="41">
        <f t="shared" si="265"/>
        <v>3342.7091465999997</v>
      </c>
    </row>
    <row r="743" spans="2:19" x14ac:dyDescent="0.2">
      <c r="B743" s="61" t="str">
        <f>IF(F743&lt;&gt;"",1+MAX($B$21:B742),"")</f>
        <v/>
      </c>
      <c r="C743" s="67"/>
      <c r="D743" s="73"/>
      <c r="E743" s="14"/>
      <c r="F743" s="24"/>
      <c r="G743" s="48"/>
      <c r="H743" s="48">
        <f t="shared" si="258"/>
        <v>0</v>
      </c>
      <c r="I743" s="48">
        <f t="shared" si="259"/>
        <v>0</v>
      </c>
      <c r="J743" s="49"/>
      <c r="K743" s="50">
        <f t="shared" si="260"/>
        <v>0</v>
      </c>
      <c r="L743" s="50"/>
      <c r="M743" s="48"/>
      <c r="N743" s="48">
        <f t="shared" si="261"/>
        <v>0</v>
      </c>
      <c r="O743" s="48">
        <f t="shared" si="262"/>
        <v>0</v>
      </c>
      <c r="P743" s="48">
        <f t="shared" si="263"/>
        <v>0</v>
      </c>
      <c r="Q743" s="48">
        <f t="shared" si="264"/>
        <v>0</v>
      </c>
      <c r="R743" s="41">
        <f t="shared" si="265"/>
        <v>0</v>
      </c>
    </row>
    <row r="744" spans="2:19" x14ac:dyDescent="0.2">
      <c r="B744" s="62" t="str">
        <f>IF(F744&lt;&gt;"",1+MAX($B$21:B743),"")</f>
        <v/>
      </c>
      <c r="C744" s="68"/>
      <c r="D744" s="74" t="s">
        <v>111</v>
      </c>
      <c r="E744" s="14"/>
      <c r="F744" s="19"/>
      <c r="G744" s="48"/>
      <c r="H744" s="48">
        <f t="shared" si="258"/>
        <v>0</v>
      </c>
      <c r="I744" s="48">
        <f t="shared" si="259"/>
        <v>0</v>
      </c>
      <c r="J744" s="49"/>
      <c r="K744" s="50">
        <f t="shared" si="260"/>
        <v>0</v>
      </c>
      <c r="L744" s="50"/>
      <c r="M744" s="48"/>
      <c r="N744" s="48">
        <f t="shared" si="261"/>
        <v>0</v>
      </c>
      <c r="O744" s="48">
        <f t="shared" si="262"/>
        <v>0</v>
      </c>
      <c r="P744" s="48">
        <f t="shared" si="263"/>
        <v>0</v>
      </c>
      <c r="Q744" s="48">
        <f t="shared" si="264"/>
        <v>0</v>
      </c>
      <c r="R744" s="41">
        <f t="shared" si="265"/>
        <v>0</v>
      </c>
    </row>
    <row r="745" spans="2:19" x14ac:dyDescent="0.2">
      <c r="B745" s="61">
        <f>IF(F745&lt;&gt;"",1+MAX($B$21:B744),"")</f>
        <v>446</v>
      </c>
      <c r="C745" s="196" t="s">
        <v>633</v>
      </c>
      <c r="D745" s="73" t="s">
        <v>136</v>
      </c>
      <c r="E745" s="14" t="s">
        <v>95</v>
      </c>
      <c r="F745" s="25">
        <v>1200</v>
      </c>
      <c r="G745" s="12">
        <v>0.95</v>
      </c>
      <c r="H745" s="12">
        <f t="shared" si="258"/>
        <v>0.90439999999999987</v>
      </c>
      <c r="I745" s="12">
        <f t="shared" si="259"/>
        <v>1085.2799999999997</v>
      </c>
      <c r="J745" s="11">
        <v>0.10404127257093723</v>
      </c>
      <c r="K745" s="7">
        <f t="shared" si="260"/>
        <v>124.84952708512468</v>
      </c>
      <c r="L745" s="28" t="s">
        <v>1078</v>
      </c>
      <c r="M745" s="29">
        <v>58.15</v>
      </c>
      <c r="N745" s="48">
        <f t="shared" si="261"/>
        <v>42.507649999999998</v>
      </c>
      <c r="O745" s="48">
        <f t="shared" si="262"/>
        <v>4.4225500000000002</v>
      </c>
      <c r="P745" s="48">
        <f t="shared" si="263"/>
        <v>5307.06</v>
      </c>
      <c r="Q745" s="48">
        <f t="shared" si="264"/>
        <v>6392.34</v>
      </c>
      <c r="R745" s="41">
        <f t="shared" si="265"/>
        <v>9088.6596120000013</v>
      </c>
    </row>
    <row r="746" spans="2:19" x14ac:dyDescent="0.2">
      <c r="B746" s="61" t="str">
        <f>IF(F746&lt;&gt;"",1+MAX($B$21:B745),"")</f>
        <v/>
      </c>
      <c r="C746" s="196"/>
      <c r="D746" s="73"/>
      <c r="E746" s="14"/>
      <c r="F746" s="24"/>
      <c r="G746" s="48"/>
      <c r="H746" s="48">
        <f t="shared" si="258"/>
        <v>0</v>
      </c>
      <c r="I746" s="48">
        <f t="shared" si="259"/>
        <v>0</v>
      </c>
      <c r="J746" s="49"/>
      <c r="K746" s="50">
        <f t="shared" si="260"/>
        <v>0</v>
      </c>
      <c r="L746" s="50"/>
      <c r="M746" s="48"/>
      <c r="N746" s="48">
        <f t="shared" si="261"/>
        <v>0</v>
      </c>
      <c r="O746" s="48">
        <f t="shared" si="262"/>
        <v>0</v>
      </c>
      <c r="P746" s="48">
        <f t="shared" si="263"/>
        <v>0</v>
      </c>
      <c r="Q746" s="48">
        <f t="shared" si="264"/>
        <v>0</v>
      </c>
      <c r="R746" s="41">
        <f t="shared" si="265"/>
        <v>0</v>
      </c>
    </row>
    <row r="747" spans="2:19" x14ac:dyDescent="0.2">
      <c r="B747" s="61" t="str">
        <f>IF(F747&lt;&gt;"",1+MAX($B$21:B746),"")</f>
        <v/>
      </c>
      <c r="C747" s="196"/>
      <c r="D747" s="75" t="s">
        <v>78</v>
      </c>
      <c r="E747" s="14"/>
      <c r="F747" s="19"/>
      <c r="G747" s="48"/>
      <c r="H747" s="48">
        <f t="shared" si="258"/>
        <v>0</v>
      </c>
      <c r="I747" s="48">
        <f t="shared" si="259"/>
        <v>0</v>
      </c>
      <c r="J747" s="49"/>
      <c r="K747" s="50">
        <f t="shared" si="260"/>
        <v>0</v>
      </c>
      <c r="L747" s="50"/>
      <c r="M747" s="48"/>
      <c r="N747" s="48">
        <f t="shared" si="261"/>
        <v>0</v>
      </c>
      <c r="O747" s="48">
        <f t="shared" si="262"/>
        <v>0</v>
      </c>
      <c r="P747" s="48">
        <f t="shared" si="263"/>
        <v>0</v>
      </c>
      <c r="Q747" s="48">
        <f t="shared" si="264"/>
        <v>0</v>
      </c>
      <c r="R747" s="41">
        <f t="shared" si="265"/>
        <v>0</v>
      </c>
    </row>
    <row r="748" spans="2:19" x14ac:dyDescent="0.2">
      <c r="B748" s="61">
        <f>IF(F748&lt;&gt;"",1+MAX($B$21:B747),"")</f>
        <v>447</v>
      </c>
      <c r="C748" s="197"/>
      <c r="D748" s="73" t="s">
        <v>112</v>
      </c>
      <c r="E748" s="14" t="s">
        <v>72</v>
      </c>
      <c r="F748" s="19">
        <v>1325</v>
      </c>
      <c r="G748" s="12">
        <v>1.95</v>
      </c>
      <c r="H748" s="12">
        <f t="shared" si="258"/>
        <v>1.8563999999999998</v>
      </c>
      <c r="I748" s="12">
        <f t="shared" si="259"/>
        <v>2459.7299999999996</v>
      </c>
      <c r="J748" s="11">
        <v>3.5000000000000003E-2</v>
      </c>
      <c r="K748" s="7">
        <f t="shared" si="260"/>
        <v>46.375000000000007</v>
      </c>
      <c r="L748" s="28" t="s">
        <v>1079</v>
      </c>
      <c r="M748" s="29">
        <v>52.77</v>
      </c>
      <c r="N748" s="48">
        <f t="shared" si="261"/>
        <v>38.574870000000004</v>
      </c>
      <c r="O748" s="48">
        <f t="shared" si="262"/>
        <v>1.3501204500000004</v>
      </c>
      <c r="P748" s="48">
        <f t="shared" si="263"/>
        <v>1788.9095962500005</v>
      </c>
      <c r="Q748" s="48">
        <f t="shared" si="264"/>
        <v>4248.6395962500001</v>
      </c>
      <c r="R748" s="41">
        <f t="shared" si="265"/>
        <v>5987.5409658487497</v>
      </c>
      <c r="S748" s="9"/>
    </row>
    <row r="749" spans="2:19" x14ac:dyDescent="0.2">
      <c r="B749" s="61" t="str">
        <f>IF(F749&lt;&gt;"",1+MAX($B$21:B748),"")</f>
        <v/>
      </c>
      <c r="C749" s="67"/>
      <c r="D749" s="73"/>
      <c r="E749" s="14"/>
      <c r="F749" s="24"/>
      <c r="G749" s="48"/>
      <c r="H749" s="48">
        <f t="shared" si="258"/>
        <v>0</v>
      </c>
      <c r="I749" s="48">
        <f t="shared" si="259"/>
        <v>0</v>
      </c>
      <c r="J749" s="49"/>
      <c r="K749" s="50">
        <f t="shared" si="260"/>
        <v>0</v>
      </c>
      <c r="L749" s="50"/>
      <c r="M749" s="48"/>
      <c r="N749" s="48">
        <f t="shared" si="261"/>
        <v>0</v>
      </c>
      <c r="O749" s="48">
        <f t="shared" si="262"/>
        <v>0</v>
      </c>
      <c r="P749" s="48">
        <f t="shared" si="263"/>
        <v>0</v>
      </c>
      <c r="Q749" s="48">
        <f t="shared" si="264"/>
        <v>0</v>
      </c>
      <c r="R749" s="41">
        <f t="shared" si="265"/>
        <v>0</v>
      </c>
    </row>
    <row r="750" spans="2:19" x14ac:dyDescent="0.2">
      <c r="B750" s="61" t="str">
        <f>IF(F750&lt;&gt;"",1+MAX($B$21:B749),"")</f>
        <v/>
      </c>
      <c r="C750" s="198" t="s">
        <v>633</v>
      </c>
      <c r="D750" s="75" t="s">
        <v>137</v>
      </c>
      <c r="E750" s="14"/>
      <c r="F750" s="24"/>
      <c r="G750" s="48"/>
      <c r="H750" s="48">
        <f t="shared" si="258"/>
        <v>0</v>
      </c>
      <c r="I750" s="48">
        <f t="shared" si="259"/>
        <v>0</v>
      </c>
      <c r="J750" s="49"/>
      <c r="K750" s="50">
        <f t="shared" si="260"/>
        <v>0</v>
      </c>
      <c r="L750" s="50"/>
      <c r="M750" s="48"/>
      <c r="N750" s="48">
        <f t="shared" si="261"/>
        <v>0</v>
      </c>
      <c r="O750" s="48">
        <f t="shared" si="262"/>
        <v>0</v>
      </c>
      <c r="P750" s="48">
        <f t="shared" si="263"/>
        <v>0</v>
      </c>
      <c r="Q750" s="48">
        <f t="shared" si="264"/>
        <v>0</v>
      </c>
      <c r="R750" s="41">
        <f t="shared" si="265"/>
        <v>0</v>
      </c>
    </row>
    <row r="751" spans="2:19" x14ac:dyDescent="0.2">
      <c r="B751" s="61">
        <f>IF(F751&lt;&gt;"",1+MAX($B$21:B750),"")</f>
        <v>448</v>
      </c>
      <c r="C751" s="196"/>
      <c r="D751" s="73" t="s">
        <v>585</v>
      </c>
      <c r="E751" s="14" t="s">
        <v>74</v>
      </c>
      <c r="F751" s="25">
        <v>6.92</v>
      </c>
      <c r="G751" s="12">
        <v>3.71</v>
      </c>
      <c r="H751" s="12">
        <f t="shared" si="258"/>
        <v>3.5319199999999999</v>
      </c>
      <c r="I751" s="12">
        <f t="shared" si="259"/>
        <v>24.4408864</v>
      </c>
      <c r="J751" s="11">
        <v>5.7000000000000002E-2</v>
      </c>
      <c r="K751" s="7">
        <f t="shared" si="260"/>
        <v>0.39444000000000001</v>
      </c>
      <c r="L751" s="28" t="s">
        <v>1080</v>
      </c>
      <c r="M751" s="29">
        <v>55.08</v>
      </c>
      <c r="N751" s="48">
        <f t="shared" si="261"/>
        <v>40.263480000000001</v>
      </c>
      <c r="O751" s="48">
        <f t="shared" si="262"/>
        <v>2.2950183600000003</v>
      </c>
      <c r="P751" s="48">
        <f t="shared" si="263"/>
        <v>15.881527051200001</v>
      </c>
      <c r="Q751" s="48">
        <f t="shared" si="264"/>
        <v>40.322413451199999</v>
      </c>
      <c r="R751" s="41">
        <f t="shared" si="265"/>
        <v>56.792192871022401</v>
      </c>
    </row>
    <row r="752" spans="2:19" x14ac:dyDescent="0.2">
      <c r="B752" s="61">
        <f>IF(F752&lt;&gt;"",1+MAX($B$21:B751),"")</f>
        <v>449</v>
      </c>
      <c r="C752" s="196"/>
      <c r="D752" s="73" t="s">
        <v>586</v>
      </c>
      <c r="E752" s="14" t="s">
        <v>74</v>
      </c>
      <c r="F752" s="25">
        <v>50.09</v>
      </c>
      <c r="G752" s="12">
        <v>4.87</v>
      </c>
      <c r="H752" s="12">
        <f t="shared" si="258"/>
        <v>4.6362399999999999</v>
      </c>
      <c r="I752" s="12">
        <f t="shared" si="259"/>
        <v>232.2292616</v>
      </c>
      <c r="J752" s="11">
        <v>0.08</v>
      </c>
      <c r="K752" s="7">
        <f t="shared" si="260"/>
        <v>4.0072000000000001</v>
      </c>
      <c r="L752" s="28" t="s">
        <v>1080</v>
      </c>
      <c r="M752" s="29">
        <v>55.08</v>
      </c>
      <c r="N752" s="48">
        <f t="shared" si="261"/>
        <v>40.263480000000001</v>
      </c>
      <c r="O752" s="48">
        <f t="shared" si="262"/>
        <v>3.2210784000000001</v>
      </c>
      <c r="P752" s="48">
        <f t="shared" si="263"/>
        <v>161.34381705600001</v>
      </c>
      <c r="Q752" s="48">
        <f t="shared" si="264"/>
        <v>393.57307865600001</v>
      </c>
      <c r="R752" s="41">
        <f t="shared" si="265"/>
        <v>554.522567837152</v>
      </c>
    </row>
    <row r="753" spans="2:19" x14ac:dyDescent="0.2">
      <c r="B753" s="61">
        <f>IF(F753&lt;&gt;"",1+MAX($B$21:B752),"")</f>
        <v>450</v>
      </c>
      <c r="C753" s="196"/>
      <c r="D753" s="73" t="s">
        <v>587</v>
      </c>
      <c r="E753" s="14" t="s">
        <v>74</v>
      </c>
      <c r="F753" s="25">
        <v>4.83</v>
      </c>
      <c r="G753" s="12">
        <v>6</v>
      </c>
      <c r="H753" s="12">
        <f t="shared" si="258"/>
        <v>5.7119999999999997</v>
      </c>
      <c r="I753" s="12">
        <f t="shared" si="259"/>
        <v>27.58896</v>
      </c>
      <c r="J753" s="11">
        <v>0.1</v>
      </c>
      <c r="K753" s="7">
        <f t="shared" si="260"/>
        <v>0.48300000000000004</v>
      </c>
      <c r="L753" s="28" t="s">
        <v>1080</v>
      </c>
      <c r="M753" s="29">
        <v>55.08</v>
      </c>
      <c r="N753" s="48">
        <f t="shared" si="261"/>
        <v>40.263480000000001</v>
      </c>
      <c r="O753" s="48">
        <f t="shared" si="262"/>
        <v>4.0263480000000005</v>
      </c>
      <c r="P753" s="48">
        <f t="shared" si="263"/>
        <v>19.447260840000002</v>
      </c>
      <c r="Q753" s="48">
        <f t="shared" si="264"/>
        <v>47.036220839999999</v>
      </c>
      <c r="R753" s="41">
        <f t="shared" si="265"/>
        <v>66.276464962679995</v>
      </c>
    </row>
    <row r="754" spans="2:19" x14ac:dyDescent="0.2">
      <c r="B754" s="61">
        <f>IF(F754&lt;&gt;"",1+MAX($B$21:B753),"")</f>
        <v>451</v>
      </c>
      <c r="C754" s="197"/>
      <c r="D754" s="73" t="s">
        <v>588</v>
      </c>
      <c r="E754" s="14" t="s">
        <v>74</v>
      </c>
      <c r="F754" s="25">
        <v>3.12</v>
      </c>
      <c r="G754" s="12">
        <v>7.55</v>
      </c>
      <c r="H754" s="12">
        <f t="shared" si="258"/>
        <v>7.1875999999999998</v>
      </c>
      <c r="I754" s="12">
        <f t="shared" si="259"/>
        <v>22.425312000000002</v>
      </c>
      <c r="J754" s="11">
        <v>0.13300000000000001</v>
      </c>
      <c r="K754" s="7">
        <f t="shared" si="260"/>
        <v>0.41496000000000005</v>
      </c>
      <c r="L754" s="28" t="s">
        <v>1080</v>
      </c>
      <c r="M754" s="29">
        <v>55.08</v>
      </c>
      <c r="N754" s="48">
        <f t="shared" si="261"/>
        <v>40.263480000000001</v>
      </c>
      <c r="O754" s="48">
        <f t="shared" si="262"/>
        <v>5.3550428400000003</v>
      </c>
      <c r="P754" s="48">
        <f t="shared" si="263"/>
        <v>16.707733660800002</v>
      </c>
      <c r="Q754" s="48">
        <f t="shared" si="264"/>
        <v>39.133045660800008</v>
      </c>
      <c r="R754" s="41">
        <f t="shared" si="265"/>
        <v>55.156641610761611</v>
      </c>
    </row>
    <row r="755" spans="2:19" x14ac:dyDescent="0.2">
      <c r="B755" s="61" t="str">
        <f>IF(F755&lt;&gt;"",1+MAX($B$21:B754),"")</f>
        <v/>
      </c>
      <c r="C755" s="67"/>
      <c r="D755" s="73"/>
      <c r="E755" s="14"/>
      <c r="F755" s="19"/>
      <c r="G755" s="48"/>
      <c r="H755" s="48">
        <f t="shared" si="258"/>
        <v>0</v>
      </c>
      <c r="I755" s="48">
        <f t="shared" si="259"/>
        <v>0</v>
      </c>
      <c r="J755" s="49"/>
      <c r="K755" s="50">
        <f t="shared" si="260"/>
        <v>0</v>
      </c>
      <c r="L755" s="50"/>
      <c r="M755" s="48"/>
      <c r="N755" s="48">
        <f t="shared" si="261"/>
        <v>0</v>
      </c>
      <c r="O755" s="48">
        <f t="shared" si="262"/>
        <v>0</v>
      </c>
      <c r="P755" s="48">
        <f t="shared" si="263"/>
        <v>0</v>
      </c>
      <c r="Q755" s="48">
        <f t="shared" si="264"/>
        <v>0</v>
      </c>
      <c r="R755" s="41">
        <f t="shared" si="265"/>
        <v>0</v>
      </c>
      <c r="S755" s="9"/>
    </row>
    <row r="756" spans="2:19" x14ac:dyDescent="0.2">
      <c r="B756" s="62" t="str">
        <f>IF(F756&lt;&gt;"",1+MAX($B$21:B755),"")</f>
        <v/>
      </c>
      <c r="C756" s="68"/>
      <c r="D756" s="74" t="s">
        <v>589</v>
      </c>
      <c r="E756" s="14"/>
      <c r="F756" s="19"/>
      <c r="G756" s="48"/>
      <c r="H756" s="48">
        <f t="shared" si="258"/>
        <v>0</v>
      </c>
      <c r="I756" s="48">
        <f t="shared" si="259"/>
        <v>0</v>
      </c>
      <c r="J756" s="49"/>
      <c r="K756" s="50">
        <f t="shared" si="260"/>
        <v>0</v>
      </c>
      <c r="L756" s="50"/>
      <c r="M756" s="48"/>
      <c r="N756" s="48">
        <f t="shared" si="261"/>
        <v>0</v>
      </c>
      <c r="O756" s="48">
        <f t="shared" si="262"/>
        <v>0</v>
      </c>
      <c r="P756" s="48">
        <f t="shared" si="263"/>
        <v>0</v>
      </c>
      <c r="Q756" s="48">
        <f t="shared" si="264"/>
        <v>0</v>
      </c>
      <c r="R756" s="41">
        <f t="shared" si="265"/>
        <v>0</v>
      </c>
    </row>
    <row r="757" spans="2:19" x14ac:dyDescent="0.2">
      <c r="B757" s="61">
        <f>IF(F757&lt;&gt;"",1+MAX($B$21:B756),"")</f>
        <v>452</v>
      </c>
      <c r="C757" s="67" t="s">
        <v>633</v>
      </c>
      <c r="D757" s="73" t="s">
        <v>590</v>
      </c>
      <c r="E757" s="14" t="s">
        <v>74</v>
      </c>
      <c r="F757" s="19">
        <v>30.86</v>
      </c>
      <c r="G757" s="12">
        <v>5.5</v>
      </c>
      <c r="H757" s="12">
        <f t="shared" si="258"/>
        <v>5.2359999999999998</v>
      </c>
      <c r="I757" s="12">
        <f t="shared" si="259"/>
        <v>161.58295999999999</v>
      </c>
      <c r="J757" s="11">
        <v>0.157</v>
      </c>
      <c r="K757" s="7">
        <f t="shared" si="260"/>
        <v>4.8450199999999999</v>
      </c>
      <c r="L757" s="28" t="s">
        <v>1076</v>
      </c>
      <c r="M757" s="29">
        <v>64.45</v>
      </c>
      <c r="N757" s="48">
        <f t="shared" si="261"/>
        <v>47.112949999999998</v>
      </c>
      <c r="O757" s="48">
        <f t="shared" si="262"/>
        <v>7.3967331499999993</v>
      </c>
      <c r="P757" s="48">
        <f t="shared" si="263"/>
        <v>228.26318500899998</v>
      </c>
      <c r="Q757" s="48">
        <f t="shared" si="264"/>
        <v>389.846145009</v>
      </c>
      <c r="R757" s="41">
        <f t="shared" si="265"/>
        <v>551.36601035184299</v>
      </c>
    </row>
    <row r="758" spans="2:19" x14ac:dyDescent="0.2">
      <c r="B758" s="61" t="str">
        <f>IF(F758&lt;&gt;"",1+MAX($B$21:B757),"")</f>
        <v/>
      </c>
      <c r="C758" s="67"/>
      <c r="D758" s="73"/>
      <c r="E758" s="14"/>
      <c r="F758" s="14"/>
      <c r="G758" s="48"/>
      <c r="H758" s="48">
        <f t="shared" si="258"/>
        <v>0</v>
      </c>
      <c r="I758" s="48">
        <f t="shared" si="259"/>
        <v>0</v>
      </c>
      <c r="J758" s="49"/>
      <c r="K758" s="50">
        <f t="shared" si="260"/>
        <v>0</v>
      </c>
      <c r="L758" s="50"/>
      <c r="M758" s="48"/>
      <c r="N758" s="48">
        <f t="shared" si="261"/>
        <v>0</v>
      </c>
      <c r="O758" s="48">
        <f t="shared" si="262"/>
        <v>0</v>
      </c>
      <c r="P758" s="48">
        <f t="shared" si="263"/>
        <v>0</v>
      </c>
      <c r="Q758" s="48">
        <f t="shared" si="264"/>
        <v>0</v>
      </c>
      <c r="R758" s="41">
        <f t="shared" si="265"/>
        <v>0</v>
      </c>
    </row>
    <row r="759" spans="2:19" x14ac:dyDescent="0.2">
      <c r="B759" s="62" t="str">
        <f>IF(F759&lt;&gt;"",1+MAX($B$21:B758),"")</f>
        <v/>
      </c>
      <c r="C759" s="68"/>
      <c r="D759" s="74" t="s">
        <v>138</v>
      </c>
      <c r="E759" s="14"/>
      <c r="F759" s="19"/>
      <c r="G759" s="48"/>
      <c r="H759" s="48">
        <f t="shared" si="258"/>
        <v>0</v>
      </c>
      <c r="I759" s="48">
        <f t="shared" si="259"/>
        <v>0</v>
      </c>
      <c r="J759" s="49"/>
      <c r="K759" s="50">
        <f t="shared" si="260"/>
        <v>0</v>
      </c>
      <c r="L759" s="50"/>
      <c r="M759" s="48"/>
      <c r="N759" s="48">
        <f t="shared" si="261"/>
        <v>0</v>
      </c>
      <c r="O759" s="48">
        <f t="shared" si="262"/>
        <v>0</v>
      </c>
      <c r="P759" s="48">
        <f t="shared" si="263"/>
        <v>0</v>
      </c>
      <c r="Q759" s="48">
        <f t="shared" si="264"/>
        <v>0</v>
      </c>
      <c r="R759" s="41">
        <f t="shared" si="265"/>
        <v>0</v>
      </c>
    </row>
    <row r="760" spans="2:19" ht="25.5" x14ac:dyDescent="0.2">
      <c r="B760" s="61">
        <f>IF(F760&lt;&gt;"",1+MAX($B$21:B759),"")</f>
        <v>453</v>
      </c>
      <c r="C760" s="198" t="s">
        <v>633</v>
      </c>
      <c r="D760" s="73" t="s">
        <v>618</v>
      </c>
      <c r="E760" s="14" t="s">
        <v>79</v>
      </c>
      <c r="F760" s="14">
        <v>1</v>
      </c>
      <c r="G760" s="48">
        <v>200</v>
      </c>
      <c r="H760" s="48">
        <f t="shared" si="258"/>
        <v>190.39999999999998</v>
      </c>
      <c r="I760" s="48">
        <f t="shared" si="259"/>
        <v>190.39999999999998</v>
      </c>
      <c r="J760" s="49">
        <v>0.65</v>
      </c>
      <c r="K760" s="50">
        <f t="shared" si="260"/>
        <v>0.65</v>
      </c>
      <c r="L760" s="28" t="s">
        <v>1081</v>
      </c>
      <c r="M760" s="29">
        <v>62.3</v>
      </c>
      <c r="N760" s="48">
        <f t="shared" si="261"/>
        <v>45.5413</v>
      </c>
      <c r="O760" s="48">
        <f t="shared" si="262"/>
        <v>29.601845000000001</v>
      </c>
      <c r="P760" s="48">
        <f t="shared" si="263"/>
        <v>29.601845000000001</v>
      </c>
      <c r="Q760" s="48">
        <f t="shared" si="264"/>
        <v>220.00184499999997</v>
      </c>
      <c r="R760" s="41">
        <f t="shared" si="265"/>
        <v>308.11639281499998</v>
      </c>
    </row>
    <row r="761" spans="2:19" ht="25.5" x14ac:dyDescent="0.2">
      <c r="B761" s="61">
        <f>IF(F761&lt;&gt;"",1+MAX($B$21:B760),"")</f>
        <v>454</v>
      </c>
      <c r="C761" s="196"/>
      <c r="D761" s="73" t="s">
        <v>619</v>
      </c>
      <c r="E761" s="14" t="s">
        <v>79</v>
      </c>
      <c r="F761" s="14">
        <v>1</v>
      </c>
      <c r="G761" s="48">
        <v>245</v>
      </c>
      <c r="H761" s="48">
        <f t="shared" si="258"/>
        <v>233.23999999999998</v>
      </c>
      <c r="I761" s="48">
        <f t="shared" si="259"/>
        <v>233.23999999999998</v>
      </c>
      <c r="J761" s="49">
        <v>0.75</v>
      </c>
      <c r="K761" s="50">
        <f t="shared" si="260"/>
        <v>0.75</v>
      </c>
      <c r="L761" s="28" t="s">
        <v>1081</v>
      </c>
      <c r="M761" s="29">
        <v>62.3</v>
      </c>
      <c r="N761" s="48">
        <f t="shared" si="261"/>
        <v>45.5413</v>
      </c>
      <c r="O761" s="48">
        <f t="shared" si="262"/>
        <v>34.155974999999998</v>
      </c>
      <c r="P761" s="48">
        <f t="shared" si="263"/>
        <v>34.155974999999998</v>
      </c>
      <c r="Q761" s="48">
        <f t="shared" si="264"/>
        <v>267.39597499999996</v>
      </c>
      <c r="R761" s="41">
        <f t="shared" si="265"/>
        <v>374.43691232499987</v>
      </c>
    </row>
    <row r="762" spans="2:19" ht="25.5" x14ac:dyDescent="0.2">
      <c r="B762" s="61">
        <f>IF(F762&lt;&gt;"",1+MAX($B$21:B761),"")</f>
        <v>455</v>
      </c>
      <c r="C762" s="196"/>
      <c r="D762" s="73" t="s">
        <v>620</v>
      </c>
      <c r="E762" s="14" t="s">
        <v>79</v>
      </c>
      <c r="F762" s="14">
        <v>6</v>
      </c>
      <c r="G762" s="48">
        <v>200</v>
      </c>
      <c r="H762" s="48">
        <f t="shared" si="258"/>
        <v>190.39999999999998</v>
      </c>
      <c r="I762" s="48">
        <f t="shared" si="259"/>
        <v>1142.3999999999999</v>
      </c>
      <c r="J762" s="49">
        <v>0.65</v>
      </c>
      <c r="K762" s="50">
        <f t="shared" si="260"/>
        <v>3.9000000000000004</v>
      </c>
      <c r="L762" s="28" t="s">
        <v>1081</v>
      </c>
      <c r="M762" s="29">
        <v>62.3</v>
      </c>
      <c r="N762" s="48">
        <f t="shared" si="261"/>
        <v>45.5413</v>
      </c>
      <c r="O762" s="48">
        <f t="shared" si="262"/>
        <v>29.601845000000001</v>
      </c>
      <c r="P762" s="48">
        <f t="shared" si="263"/>
        <v>177.61107000000001</v>
      </c>
      <c r="Q762" s="48">
        <f t="shared" si="264"/>
        <v>1320.0110699999998</v>
      </c>
      <c r="R762" s="41">
        <f t="shared" si="265"/>
        <v>1848.6983568899998</v>
      </c>
    </row>
    <row r="763" spans="2:19" ht="25.5" x14ac:dyDescent="0.2">
      <c r="B763" s="61">
        <f>IF(F763&lt;&gt;"",1+MAX($B$21:B762),"")</f>
        <v>456</v>
      </c>
      <c r="C763" s="196"/>
      <c r="D763" s="73" t="s">
        <v>621</v>
      </c>
      <c r="E763" s="14" t="s">
        <v>79</v>
      </c>
      <c r="F763" s="14">
        <v>1</v>
      </c>
      <c r="G763" s="48">
        <v>245</v>
      </c>
      <c r="H763" s="48">
        <f t="shared" si="258"/>
        <v>233.23999999999998</v>
      </c>
      <c r="I763" s="48">
        <f t="shared" si="259"/>
        <v>233.23999999999998</v>
      </c>
      <c r="J763" s="49">
        <v>0.75</v>
      </c>
      <c r="K763" s="50">
        <f t="shared" si="260"/>
        <v>0.75</v>
      </c>
      <c r="L763" s="28" t="s">
        <v>1081</v>
      </c>
      <c r="M763" s="29">
        <v>62.3</v>
      </c>
      <c r="N763" s="48">
        <f t="shared" si="261"/>
        <v>45.5413</v>
      </c>
      <c r="O763" s="48">
        <f t="shared" si="262"/>
        <v>34.155974999999998</v>
      </c>
      <c r="P763" s="48">
        <f t="shared" si="263"/>
        <v>34.155974999999998</v>
      </c>
      <c r="Q763" s="48">
        <f t="shared" si="264"/>
        <v>267.39597499999996</v>
      </c>
      <c r="R763" s="41">
        <f t="shared" si="265"/>
        <v>374.43691232499987</v>
      </c>
    </row>
    <row r="764" spans="2:19" ht="25.5" x14ac:dyDescent="0.2">
      <c r="B764" s="61">
        <f>IF(F764&lt;&gt;"",1+MAX($B$21:B763),"")</f>
        <v>457</v>
      </c>
      <c r="C764" s="196"/>
      <c r="D764" s="73" t="s">
        <v>622</v>
      </c>
      <c r="E764" s="14" t="s">
        <v>79</v>
      </c>
      <c r="F764" s="14">
        <v>1</v>
      </c>
      <c r="G764" s="48">
        <v>150</v>
      </c>
      <c r="H764" s="48">
        <f t="shared" si="258"/>
        <v>142.79999999999998</v>
      </c>
      <c r="I764" s="48">
        <f t="shared" si="259"/>
        <v>142.79999999999998</v>
      </c>
      <c r="J764" s="49">
        <v>0.55000000000000004</v>
      </c>
      <c r="K764" s="50">
        <f t="shared" si="260"/>
        <v>0.55000000000000004</v>
      </c>
      <c r="L764" s="28" t="s">
        <v>1081</v>
      </c>
      <c r="M764" s="29">
        <v>62.3</v>
      </c>
      <c r="N764" s="48">
        <f t="shared" si="261"/>
        <v>45.5413</v>
      </c>
      <c r="O764" s="48">
        <f t="shared" si="262"/>
        <v>25.047715</v>
      </c>
      <c r="P764" s="48">
        <f t="shared" si="263"/>
        <v>25.047715</v>
      </c>
      <c r="Q764" s="48">
        <f t="shared" si="264"/>
        <v>167.84771499999999</v>
      </c>
      <c r="R764" s="41">
        <f t="shared" si="265"/>
        <v>235.14900930499999</v>
      </c>
    </row>
    <row r="765" spans="2:19" ht="25.5" x14ac:dyDescent="0.2">
      <c r="B765" s="61">
        <f>IF(F765&lt;&gt;"",1+MAX($B$21:B764),"")</f>
        <v>458</v>
      </c>
      <c r="C765" s="196"/>
      <c r="D765" s="73" t="s">
        <v>623</v>
      </c>
      <c r="E765" s="14" t="s">
        <v>79</v>
      </c>
      <c r="F765" s="14">
        <v>1</v>
      </c>
      <c r="G765" s="48">
        <v>150</v>
      </c>
      <c r="H765" s="48">
        <f t="shared" si="258"/>
        <v>142.79999999999998</v>
      </c>
      <c r="I765" s="48">
        <f t="shared" si="259"/>
        <v>142.79999999999998</v>
      </c>
      <c r="J765" s="49">
        <v>0.55000000000000004</v>
      </c>
      <c r="K765" s="50">
        <f t="shared" si="260"/>
        <v>0.55000000000000004</v>
      </c>
      <c r="L765" s="28" t="s">
        <v>1081</v>
      </c>
      <c r="M765" s="29">
        <v>62.3</v>
      </c>
      <c r="N765" s="48">
        <f t="shared" si="261"/>
        <v>45.5413</v>
      </c>
      <c r="O765" s="48">
        <f t="shared" si="262"/>
        <v>25.047715</v>
      </c>
      <c r="P765" s="48">
        <f t="shared" si="263"/>
        <v>25.047715</v>
      </c>
      <c r="Q765" s="48">
        <f t="shared" si="264"/>
        <v>167.84771499999999</v>
      </c>
      <c r="R765" s="41">
        <f t="shared" si="265"/>
        <v>235.14900930499999</v>
      </c>
    </row>
    <row r="766" spans="2:19" ht="25.5" x14ac:dyDescent="0.2">
      <c r="B766" s="61">
        <f>IF(F766&lt;&gt;"",1+MAX($B$21:B765),"")</f>
        <v>459</v>
      </c>
      <c r="C766" s="196"/>
      <c r="D766" s="73" t="s">
        <v>624</v>
      </c>
      <c r="E766" s="14" t="s">
        <v>79</v>
      </c>
      <c r="F766" s="14">
        <v>2</v>
      </c>
      <c r="G766" s="48">
        <v>125</v>
      </c>
      <c r="H766" s="48">
        <f t="shared" si="258"/>
        <v>119</v>
      </c>
      <c r="I766" s="48">
        <f t="shared" si="259"/>
        <v>238</v>
      </c>
      <c r="J766" s="49">
        <v>0.5</v>
      </c>
      <c r="K766" s="50">
        <f t="shared" si="260"/>
        <v>1</v>
      </c>
      <c r="L766" s="28" t="s">
        <v>1081</v>
      </c>
      <c r="M766" s="29">
        <v>62.3</v>
      </c>
      <c r="N766" s="48">
        <f t="shared" si="261"/>
        <v>45.5413</v>
      </c>
      <c r="O766" s="48">
        <f t="shared" si="262"/>
        <v>22.77065</v>
      </c>
      <c r="P766" s="48">
        <f t="shared" si="263"/>
        <v>45.5413</v>
      </c>
      <c r="Q766" s="48">
        <f t="shared" si="264"/>
        <v>283.54129999999998</v>
      </c>
      <c r="R766" s="41">
        <f t="shared" si="265"/>
        <v>397.33063509999999</v>
      </c>
    </row>
    <row r="767" spans="2:19" ht="25.5" x14ac:dyDescent="0.2">
      <c r="B767" s="61">
        <f>IF(F767&lt;&gt;"",1+MAX($B$21:B766),"")</f>
        <v>460</v>
      </c>
      <c r="C767" s="196"/>
      <c r="D767" s="73" t="s">
        <v>625</v>
      </c>
      <c r="E767" s="14" t="s">
        <v>79</v>
      </c>
      <c r="F767" s="14">
        <v>2</v>
      </c>
      <c r="G767" s="48">
        <v>125</v>
      </c>
      <c r="H767" s="48">
        <f t="shared" si="258"/>
        <v>119</v>
      </c>
      <c r="I767" s="48">
        <f t="shared" si="259"/>
        <v>238</v>
      </c>
      <c r="J767" s="49">
        <v>0.5</v>
      </c>
      <c r="K767" s="50">
        <f t="shared" si="260"/>
        <v>1</v>
      </c>
      <c r="L767" s="28" t="s">
        <v>1081</v>
      </c>
      <c r="M767" s="29">
        <v>62.3</v>
      </c>
      <c r="N767" s="48">
        <f t="shared" si="261"/>
        <v>45.5413</v>
      </c>
      <c r="O767" s="48">
        <f t="shared" si="262"/>
        <v>22.77065</v>
      </c>
      <c r="P767" s="48">
        <f t="shared" si="263"/>
        <v>45.5413</v>
      </c>
      <c r="Q767" s="48">
        <f t="shared" si="264"/>
        <v>283.54129999999998</v>
      </c>
      <c r="R767" s="41">
        <f t="shared" si="265"/>
        <v>397.33063509999999</v>
      </c>
    </row>
    <row r="768" spans="2:19" ht="25.5" x14ac:dyDescent="0.2">
      <c r="B768" s="61">
        <f>IF(F768&lt;&gt;"",1+MAX($B$21:B767),"")</f>
        <v>461</v>
      </c>
      <c r="C768" s="196"/>
      <c r="D768" s="73" t="s">
        <v>626</v>
      </c>
      <c r="E768" s="14" t="s">
        <v>79</v>
      </c>
      <c r="F768" s="14">
        <v>1</v>
      </c>
      <c r="G768" s="48">
        <v>255</v>
      </c>
      <c r="H768" s="48">
        <f t="shared" si="258"/>
        <v>242.76</v>
      </c>
      <c r="I768" s="48">
        <f t="shared" si="259"/>
        <v>242.76</v>
      </c>
      <c r="J768" s="49">
        <v>0.75</v>
      </c>
      <c r="K768" s="50">
        <f t="shared" si="260"/>
        <v>0.75</v>
      </c>
      <c r="L768" s="28" t="s">
        <v>1081</v>
      </c>
      <c r="M768" s="29">
        <v>62.3</v>
      </c>
      <c r="N768" s="48">
        <f t="shared" si="261"/>
        <v>45.5413</v>
      </c>
      <c r="O768" s="48">
        <f t="shared" si="262"/>
        <v>34.155974999999998</v>
      </c>
      <c r="P768" s="48">
        <f t="shared" si="263"/>
        <v>34.155974999999998</v>
      </c>
      <c r="Q768" s="48">
        <f t="shared" si="264"/>
        <v>276.915975</v>
      </c>
      <c r="R768" s="41">
        <f t="shared" si="265"/>
        <v>387.73064032499991</v>
      </c>
    </row>
    <row r="769" spans="2:18" ht="38.25" x14ac:dyDescent="0.2">
      <c r="B769" s="61" t="str">
        <f>IF(F769&lt;&gt;"",1+MAX($B$21:B768),"")</f>
        <v/>
      </c>
      <c r="C769" s="197"/>
      <c r="D769" s="76" t="s">
        <v>1041</v>
      </c>
      <c r="E769" s="14"/>
      <c r="F769" s="14"/>
      <c r="G769" s="48"/>
      <c r="H769" s="48">
        <f t="shared" si="258"/>
        <v>0</v>
      </c>
      <c r="I769" s="48">
        <f t="shared" si="259"/>
        <v>0</v>
      </c>
      <c r="J769" s="49"/>
      <c r="K769" s="50">
        <f t="shared" si="260"/>
        <v>0</v>
      </c>
      <c r="L769" s="50"/>
      <c r="M769" s="48"/>
      <c r="N769" s="48">
        <f t="shared" si="261"/>
        <v>0</v>
      </c>
      <c r="O769" s="48">
        <f t="shared" si="262"/>
        <v>0</v>
      </c>
      <c r="P769" s="48">
        <f t="shared" si="263"/>
        <v>0</v>
      </c>
      <c r="Q769" s="48">
        <f t="shared" si="264"/>
        <v>0</v>
      </c>
      <c r="R769" s="41">
        <f t="shared" si="265"/>
        <v>0</v>
      </c>
    </row>
    <row r="770" spans="2:18" ht="38.25" x14ac:dyDescent="0.2">
      <c r="B770" s="61">
        <f>IF(F770&lt;&gt;"",1+MAX($B$21:B769),"")</f>
        <v>462</v>
      </c>
      <c r="C770" s="198" t="s">
        <v>633</v>
      </c>
      <c r="D770" s="73" t="s">
        <v>627</v>
      </c>
      <c r="E770" s="14" t="s">
        <v>79</v>
      </c>
      <c r="F770" s="14">
        <v>1</v>
      </c>
      <c r="G770" s="12">
        <v>88</v>
      </c>
      <c r="H770" s="12">
        <f t="shared" si="258"/>
        <v>83.775999999999996</v>
      </c>
      <c r="I770" s="12">
        <f t="shared" si="259"/>
        <v>83.775999999999996</v>
      </c>
      <c r="J770" s="11">
        <v>0.77900000000000003</v>
      </c>
      <c r="K770" s="7">
        <f t="shared" si="260"/>
        <v>0.77900000000000003</v>
      </c>
      <c r="L770" s="28" t="s">
        <v>1081</v>
      </c>
      <c r="M770" s="29">
        <v>62.3</v>
      </c>
      <c r="N770" s="48">
        <f t="shared" si="261"/>
        <v>45.5413</v>
      </c>
      <c r="O770" s="48">
        <f t="shared" si="262"/>
        <v>35.476672700000002</v>
      </c>
      <c r="P770" s="48">
        <f t="shared" si="263"/>
        <v>35.476672700000002</v>
      </c>
      <c r="Q770" s="48">
        <f t="shared" si="264"/>
        <v>119.25267270000001</v>
      </c>
      <c r="R770" s="41">
        <f t="shared" si="265"/>
        <v>167.61001834289999</v>
      </c>
    </row>
    <row r="771" spans="2:18" ht="38.25" x14ac:dyDescent="0.2">
      <c r="B771" s="61">
        <f>IF(F771&lt;&gt;"",1+MAX($B$21:B770),"")</f>
        <v>463</v>
      </c>
      <c r="C771" s="196"/>
      <c r="D771" s="73" t="s">
        <v>628</v>
      </c>
      <c r="E771" s="14" t="s">
        <v>79</v>
      </c>
      <c r="F771" s="14">
        <v>2</v>
      </c>
      <c r="G771" s="12">
        <v>88</v>
      </c>
      <c r="H771" s="12">
        <f t="shared" si="258"/>
        <v>83.775999999999996</v>
      </c>
      <c r="I771" s="12">
        <f t="shared" si="259"/>
        <v>167.55199999999999</v>
      </c>
      <c r="J771" s="11">
        <v>0.77900000000000003</v>
      </c>
      <c r="K771" s="7">
        <f t="shared" si="260"/>
        <v>1.5580000000000001</v>
      </c>
      <c r="L771" s="28" t="s">
        <v>1081</v>
      </c>
      <c r="M771" s="29">
        <v>62.3</v>
      </c>
      <c r="N771" s="48">
        <f t="shared" si="261"/>
        <v>45.5413</v>
      </c>
      <c r="O771" s="48">
        <f t="shared" si="262"/>
        <v>35.476672700000002</v>
      </c>
      <c r="P771" s="48">
        <f t="shared" si="263"/>
        <v>70.953345400000003</v>
      </c>
      <c r="Q771" s="48">
        <f t="shared" si="264"/>
        <v>238.50534540000001</v>
      </c>
      <c r="R771" s="41">
        <f t="shared" si="265"/>
        <v>335.22003668579998</v>
      </c>
    </row>
    <row r="772" spans="2:18" ht="38.25" x14ac:dyDescent="0.2">
      <c r="B772" s="61">
        <f>IF(F772&lt;&gt;"",1+MAX($B$21:B771),"")</f>
        <v>464</v>
      </c>
      <c r="C772" s="196"/>
      <c r="D772" s="73" t="s">
        <v>629</v>
      </c>
      <c r="E772" s="14" t="s">
        <v>79</v>
      </c>
      <c r="F772" s="14">
        <v>1</v>
      </c>
      <c r="G772" s="12">
        <v>88</v>
      </c>
      <c r="H772" s="12">
        <f t="shared" si="258"/>
        <v>83.775999999999996</v>
      </c>
      <c r="I772" s="12">
        <f t="shared" si="259"/>
        <v>83.775999999999996</v>
      </c>
      <c r="J772" s="11">
        <v>0.77900000000000003</v>
      </c>
      <c r="K772" s="7">
        <f t="shared" si="260"/>
        <v>0.77900000000000003</v>
      </c>
      <c r="L772" s="28" t="s">
        <v>1081</v>
      </c>
      <c r="M772" s="29">
        <v>62.3</v>
      </c>
      <c r="N772" s="48">
        <f t="shared" si="261"/>
        <v>45.5413</v>
      </c>
      <c r="O772" s="48">
        <f t="shared" si="262"/>
        <v>35.476672700000002</v>
      </c>
      <c r="P772" s="48">
        <f t="shared" si="263"/>
        <v>35.476672700000002</v>
      </c>
      <c r="Q772" s="48">
        <f t="shared" si="264"/>
        <v>119.25267270000001</v>
      </c>
      <c r="R772" s="41">
        <f t="shared" si="265"/>
        <v>167.61001834289999</v>
      </c>
    </row>
    <row r="773" spans="2:18" ht="38.25" x14ac:dyDescent="0.2">
      <c r="B773" s="61">
        <f>IF(F773&lt;&gt;"",1+MAX($B$21:B772),"")</f>
        <v>465</v>
      </c>
      <c r="C773" s="196"/>
      <c r="D773" s="73" t="s">
        <v>630</v>
      </c>
      <c r="E773" s="14" t="s">
        <v>79</v>
      </c>
      <c r="F773" s="14">
        <v>1</v>
      </c>
      <c r="G773" s="12">
        <v>88</v>
      </c>
      <c r="H773" s="12">
        <f t="shared" si="258"/>
        <v>83.775999999999996</v>
      </c>
      <c r="I773" s="12">
        <f t="shared" si="259"/>
        <v>83.775999999999996</v>
      </c>
      <c r="J773" s="11">
        <v>0.77900000000000003</v>
      </c>
      <c r="K773" s="7">
        <f t="shared" si="260"/>
        <v>0.77900000000000003</v>
      </c>
      <c r="L773" s="28" t="s">
        <v>1081</v>
      </c>
      <c r="M773" s="29">
        <v>62.3</v>
      </c>
      <c r="N773" s="48">
        <f t="shared" si="261"/>
        <v>45.5413</v>
      </c>
      <c r="O773" s="48">
        <f t="shared" si="262"/>
        <v>35.476672700000002</v>
      </c>
      <c r="P773" s="48">
        <f t="shared" si="263"/>
        <v>35.476672700000002</v>
      </c>
      <c r="Q773" s="48">
        <f t="shared" si="264"/>
        <v>119.25267270000001</v>
      </c>
      <c r="R773" s="41">
        <f t="shared" si="265"/>
        <v>167.61001834289999</v>
      </c>
    </row>
    <row r="774" spans="2:18" ht="38.25" x14ac:dyDescent="0.2">
      <c r="B774" s="61">
        <f>IF(F774&lt;&gt;"",1+MAX($B$21:B773),"")</f>
        <v>466</v>
      </c>
      <c r="C774" s="196"/>
      <c r="D774" s="73" t="s">
        <v>631</v>
      </c>
      <c r="E774" s="14" t="s">
        <v>79</v>
      </c>
      <c r="F774" s="14">
        <v>1</v>
      </c>
      <c r="G774" s="12">
        <v>94</v>
      </c>
      <c r="H774" s="12">
        <f t="shared" si="258"/>
        <v>89.488</v>
      </c>
      <c r="I774" s="12">
        <f t="shared" si="259"/>
        <v>89.488</v>
      </c>
      <c r="J774" s="11">
        <v>0.89100000000000001</v>
      </c>
      <c r="K774" s="7">
        <f t="shared" si="260"/>
        <v>0.89100000000000001</v>
      </c>
      <c r="L774" s="28" t="s">
        <v>1081</v>
      </c>
      <c r="M774" s="29">
        <v>62.3</v>
      </c>
      <c r="N774" s="48">
        <f t="shared" si="261"/>
        <v>45.5413</v>
      </c>
      <c r="O774" s="48">
        <f t="shared" si="262"/>
        <v>40.577298300000002</v>
      </c>
      <c r="P774" s="48">
        <f t="shared" si="263"/>
        <v>40.577298300000002</v>
      </c>
      <c r="Q774" s="48">
        <f t="shared" si="264"/>
        <v>130.06529829999999</v>
      </c>
      <c r="R774" s="41">
        <f t="shared" si="265"/>
        <v>182.86484787409998</v>
      </c>
    </row>
    <row r="775" spans="2:18" ht="38.25" x14ac:dyDescent="0.2">
      <c r="B775" s="61">
        <f>IF(F775&lt;&gt;"",1+MAX($B$21:B774),"")</f>
        <v>467</v>
      </c>
      <c r="C775" s="196"/>
      <c r="D775" s="73" t="s">
        <v>632</v>
      </c>
      <c r="E775" s="14" t="s">
        <v>79</v>
      </c>
      <c r="F775" s="14">
        <v>1</v>
      </c>
      <c r="G775" s="12">
        <v>94</v>
      </c>
      <c r="H775" s="12">
        <f t="shared" si="258"/>
        <v>89.488</v>
      </c>
      <c r="I775" s="12">
        <f t="shared" si="259"/>
        <v>89.488</v>
      </c>
      <c r="J775" s="11">
        <v>0.89100000000000001</v>
      </c>
      <c r="K775" s="7">
        <f t="shared" si="260"/>
        <v>0.89100000000000001</v>
      </c>
      <c r="L775" s="28" t="s">
        <v>1081</v>
      </c>
      <c r="M775" s="29">
        <v>62.3</v>
      </c>
      <c r="N775" s="48">
        <f t="shared" si="261"/>
        <v>45.5413</v>
      </c>
      <c r="O775" s="48">
        <f t="shared" si="262"/>
        <v>40.577298300000002</v>
      </c>
      <c r="P775" s="48">
        <f t="shared" si="263"/>
        <v>40.577298300000002</v>
      </c>
      <c r="Q775" s="48">
        <f t="shared" si="264"/>
        <v>130.06529829999999</v>
      </c>
      <c r="R775" s="41">
        <f t="shared" si="265"/>
        <v>182.86484787409998</v>
      </c>
    </row>
    <row r="776" spans="2:18" ht="38.25" x14ac:dyDescent="0.2">
      <c r="B776" s="61" t="str">
        <f>IF(F776&lt;&gt;"",1+MAX($B$21:B775),"")</f>
        <v/>
      </c>
      <c r="C776" s="197"/>
      <c r="D776" s="76" t="s">
        <v>1042</v>
      </c>
      <c r="E776" s="14"/>
      <c r="F776" s="14"/>
      <c r="G776" s="48"/>
      <c r="H776" s="48">
        <f t="shared" si="258"/>
        <v>0</v>
      </c>
      <c r="I776" s="48">
        <f t="shared" si="259"/>
        <v>0</v>
      </c>
      <c r="J776" s="49"/>
      <c r="K776" s="50">
        <f t="shared" si="260"/>
        <v>0</v>
      </c>
      <c r="L776" s="50"/>
      <c r="M776" s="48"/>
      <c r="N776" s="48">
        <f t="shared" si="261"/>
        <v>0</v>
      </c>
      <c r="O776" s="48">
        <f t="shared" si="262"/>
        <v>0</v>
      </c>
      <c r="P776" s="48">
        <f t="shared" si="263"/>
        <v>0</v>
      </c>
      <c r="Q776" s="48">
        <f t="shared" si="264"/>
        <v>0</v>
      </c>
      <c r="R776" s="41">
        <f t="shared" si="265"/>
        <v>0</v>
      </c>
    </row>
    <row r="777" spans="2:18" ht="38.25" x14ac:dyDescent="0.2">
      <c r="B777" s="61">
        <f>IF(F777&lt;&gt;"",1+MAX($B$21:B776),"")</f>
        <v>468</v>
      </c>
      <c r="C777" s="198" t="s">
        <v>633</v>
      </c>
      <c r="D777" s="73" t="s">
        <v>591</v>
      </c>
      <c r="E777" s="14" t="s">
        <v>79</v>
      </c>
      <c r="F777" s="14">
        <v>1</v>
      </c>
      <c r="G777" s="12">
        <v>100</v>
      </c>
      <c r="H777" s="12">
        <f t="shared" si="258"/>
        <v>95.199999999999989</v>
      </c>
      <c r="I777" s="12">
        <f t="shared" si="259"/>
        <v>95.199999999999989</v>
      </c>
      <c r="J777" s="11">
        <v>0.52</v>
      </c>
      <c r="K777" s="7">
        <f t="shared" si="260"/>
        <v>0.52</v>
      </c>
      <c r="L777" s="28" t="s">
        <v>1081</v>
      </c>
      <c r="M777" s="29">
        <v>62.3</v>
      </c>
      <c r="N777" s="48">
        <f t="shared" si="261"/>
        <v>45.5413</v>
      </c>
      <c r="O777" s="48">
        <f t="shared" si="262"/>
        <v>23.681476</v>
      </c>
      <c r="P777" s="48">
        <f t="shared" si="263"/>
        <v>23.681476</v>
      </c>
      <c r="Q777" s="48">
        <f t="shared" si="264"/>
        <v>118.88147599999999</v>
      </c>
      <c r="R777" s="41">
        <f t="shared" si="265"/>
        <v>166.73074625200002</v>
      </c>
    </row>
    <row r="778" spans="2:18" ht="38.25" x14ac:dyDescent="0.2">
      <c r="B778" s="61">
        <f>IF(F778&lt;&gt;"",1+MAX($B$21:B777),"")</f>
        <v>469</v>
      </c>
      <c r="C778" s="196"/>
      <c r="D778" s="73" t="s">
        <v>592</v>
      </c>
      <c r="E778" s="14" t="s">
        <v>79</v>
      </c>
      <c r="F778" s="14">
        <v>2</v>
      </c>
      <c r="G778" s="12">
        <v>100</v>
      </c>
      <c r="H778" s="12">
        <f t="shared" si="258"/>
        <v>95.199999999999989</v>
      </c>
      <c r="I778" s="12">
        <f t="shared" si="259"/>
        <v>190.39999999999998</v>
      </c>
      <c r="J778" s="11">
        <v>0.52</v>
      </c>
      <c r="K778" s="7">
        <f t="shared" si="260"/>
        <v>1.04</v>
      </c>
      <c r="L778" s="28" t="s">
        <v>1081</v>
      </c>
      <c r="M778" s="29">
        <v>62.3</v>
      </c>
      <c r="N778" s="48">
        <f t="shared" si="261"/>
        <v>45.5413</v>
      </c>
      <c r="O778" s="48">
        <f t="shared" si="262"/>
        <v>23.681476</v>
      </c>
      <c r="P778" s="48">
        <f t="shared" si="263"/>
        <v>47.362952</v>
      </c>
      <c r="Q778" s="48">
        <f t="shared" si="264"/>
        <v>237.76295199999998</v>
      </c>
      <c r="R778" s="41">
        <f t="shared" si="265"/>
        <v>333.46149250400003</v>
      </c>
    </row>
    <row r="779" spans="2:18" ht="38.25" x14ac:dyDescent="0.2">
      <c r="B779" s="61">
        <f>IF(F779&lt;&gt;"",1+MAX($B$21:B778),"")</f>
        <v>470</v>
      </c>
      <c r="C779" s="196"/>
      <c r="D779" s="73" t="s">
        <v>593</v>
      </c>
      <c r="E779" s="14" t="s">
        <v>79</v>
      </c>
      <c r="F779" s="14">
        <v>1</v>
      </c>
      <c r="G779" s="12">
        <v>100</v>
      </c>
      <c r="H779" s="12">
        <f t="shared" si="258"/>
        <v>95.199999999999989</v>
      </c>
      <c r="I779" s="12">
        <f t="shared" si="259"/>
        <v>95.199999999999989</v>
      </c>
      <c r="J779" s="11">
        <v>0.52</v>
      </c>
      <c r="K779" s="7">
        <f t="shared" si="260"/>
        <v>0.52</v>
      </c>
      <c r="L779" s="28" t="s">
        <v>1081</v>
      </c>
      <c r="M779" s="29">
        <v>62.3</v>
      </c>
      <c r="N779" s="48">
        <f t="shared" si="261"/>
        <v>45.5413</v>
      </c>
      <c r="O779" s="48">
        <f t="shared" si="262"/>
        <v>23.681476</v>
      </c>
      <c r="P779" s="48">
        <f t="shared" si="263"/>
        <v>23.681476</v>
      </c>
      <c r="Q779" s="48">
        <f t="shared" si="264"/>
        <v>118.88147599999999</v>
      </c>
      <c r="R779" s="41">
        <f t="shared" si="265"/>
        <v>166.73074625200002</v>
      </c>
    </row>
    <row r="780" spans="2:18" ht="38.25" x14ac:dyDescent="0.2">
      <c r="B780" s="61">
        <f>IF(F780&lt;&gt;"",1+MAX($B$21:B779),"")</f>
        <v>471</v>
      </c>
      <c r="C780" s="196"/>
      <c r="D780" s="73" t="s">
        <v>594</v>
      </c>
      <c r="E780" s="14" t="s">
        <v>79</v>
      </c>
      <c r="F780" s="14">
        <v>1</v>
      </c>
      <c r="G780" s="12">
        <v>100</v>
      </c>
      <c r="H780" s="12">
        <f t="shared" si="258"/>
        <v>95.199999999999989</v>
      </c>
      <c r="I780" s="12">
        <f t="shared" si="259"/>
        <v>95.199999999999989</v>
      </c>
      <c r="J780" s="11">
        <v>0.52</v>
      </c>
      <c r="K780" s="7">
        <f t="shared" si="260"/>
        <v>0.52</v>
      </c>
      <c r="L780" s="28" t="s">
        <v>1081</v>
      </c>
      <c r="M780" s="29">
        <v>62.3</v>
      </c>
      <c r="N780" s="48">
        <f t="shared" si="261"/>
        <v>45.5413</v>
      </c>
      <c r="O780" s="48">
        <f t="shared" si="262"/>
        <v>23.681476</v>
      </c>
      <c r="P780" s="48">
        <f t="shared" si="263"/>
        <v>23.681476</v>
      </c>
      <c r="Q780" s="48">
        <f t="shared" si="264"/>
        <v>118.88147599999999</v>
      </c>
      <c r="R780" s="41">
        <f t="shared" si="265"/>
        <v>166.73074625200002</v>
      </c>
    </row>
    <row r="781" spans="2:18" ht="38.25" x14ac:dyDescent="0.2">
      <c r="B781" s="61">
        <f>IF(F781&lt;&gt;"",1+MAX($B$21:B780),"")</f>
        <v>472</v>
      </c>
      <c r="C781" s="196"/>
      <c r="D781" s="73" t="s">
        <v>595</v>
      </c>
      <c r="E781" s="14" t="s">
        <v>79</v>
      </c>
      <c r="F781" s="14">
        <v>1</v>
      </c>
      <c r="G781" s="12">
        <v>100</v>
      </c>
      <c r="H781" s="12">
        <f t="shared" si="258"/>
        <v>95.199999999999989</v>
      </c>
      <c r="I781" s="12">
        <f t="shared" si="259"/>
        <v>95.199999999999989</v>
      </c>
      <c r="J781" s="11">
        <v>0.52</v>
      </c>
      <c r="K781" s="7">
        <f t="shared" si="260"/>
        <v>0.52</v>
      </c>
      <c r="L781" s="28" t="s">
        <v>1081</v>
      </c>
      <c r="M781" s="29">
        <v>62.3</v>
      </c>
      <c r="N781" s="48">
        <f t="shared" si="261"/>
        <v>45.5413</v>
      </c>
      <c r="O781" s="48">
        <f t="shared" si="262"/>
        <v>23.681476</v>
      </c>
      <c r="P781" s="48">
        <f t="shared" si="263"/>
        <v>23.681476</v>
      </c>
      <c r="Q781" s="48">
        <f t="shared" si="264"/>
        <v>118.88147599999999</v>
      </c>
      <c r="R781" s="41">
        <f t="shared" si="265"/>
        <v>166.73074625200002</v>
      </c>
    </row>
    <row r="782" spans="2:18" ht="38.25" x14ac:dyDescent="0.2">
      <c r="B782" s="61">
        <f>IF(F782&lt;&gt;"",1+MAX($B$21:B781),"")</f>
        <v>473</v>
      </c>
      <c r="C782" s="196"/>
      <c r="D782" s="73" t="s">
        <v>596</v>
      </c>
      <c r="E782" s="14" t="s">
        <v>79</v>
      </c>
      <c r="F782" s="14">
        <v>1</v>
      </c>
      <c r="G782" s="12">
        <v>100</v>
      </c>
      <c r="H782" s="12">
        <f t="shared" si="258"/>
        <v>95.199999999999989</v>
      </c>
      <c r="I782" s="12">
        <f t="shared" si="259"/>
        <v>95.199999999999989</v>
      </c>
      <c r="J782" s="11">
        <v>0.52</v>
      </c>
      <c r="K782" s="7">
        <f t="shared" si="260"/>
        <v>0.52</v>
      </c>
      <c r="L782" s="28" t="s">
        <v>1081</v>
      </c>
      <c r="M782" s="29">
        <v>62.3</v>
      </c>
      <c r="N782" s="48">
        <f t="shared" si="261"/>
        <v>45.5413</v>
      </c>
      <c r="O782" s="48">
        <f t="shared" si="262"/>
        <v>23.681476</v>
      </c>
      <c r="P782" s="48">
        <f t="shared" si="263"/>
        <v>23.681476</v>
      </c>
      <c r="Q782" s="48">
        <f t="shared" si="264"/>
        <v>118.88147599999999</v>
      </c>
      <c r="R782" s="41">
        <f t="shared" si="265"/>
        <v>166.73074625200002</v>
      </c>
    </row>
    <row r="783" spans="2:18" ht="38.25" x14ac:dyDescent="0.2">
      <c r="B783" s="61" t="str">
        <f>IF(F783&lt;&gt;"",1+MAX($B$21:B782),"")</f>
        <v/>
      </c>
      <c r="C783" s="197"/>
      <c r="D783" s="76" t="s">
        <v>1043</v>
      </c>
      <c r="E783" s="14"/>
      <c r="F783" s="14"/>
      <c r="G783" s="48"/>
      <c r="H783" s="48">
        <f t="shared" si="258"/>
        <v>0</v>
      </c>
      <c r="I783" s="48">
        <f t="shared" si="259"/>
        <v>0</v>
      </c>
      <c r="J783" s="49"/>
      <c r="K783" s="50">
        <f t="shared" si="260"/>
        <v>0</v>
      </c>
      <c r="L783" s="50"/>
      <c r="M783" s="48"/>
      <c r="N783" s="48">
        <f t="shared" si="261"/>
        <v>0</v>
      </c>
      <c r="O783" s="48">
        <f t="shared" si="262"/>
        <v>0</v>
      </c>
      <c r="P783" s="48">
        <f t="shared" si="263"/>
        <v>0</v>
      </c>
      <c r="Q783" s="48">
        <f t="shared" si="264"/>
        <v>0</v>
      </c>
      <c r="R783" s="41">
        <f t="shared" si="265"/>
        <v>0</v>
      </c>
    </row>
    <row r="784" spans="2:18" x14ac:dyDescent="0.2">
      <c r="B784" s="61" t="str">
        <f>IF(F784&lt;&gt;"",1+MAX($B$21:B783),"")</f>
        <v/>
      </c>
      <c r="C784" s="67"/>
      <c r="D784" s="73"/>
      <c r="E784" s="14"/>
      <c r="F784" s="14"/>
      <c r="G784" s="48"/>
      <c r="H784" s="48">
        <f t="shared" si="258"/>
        <v>0</v>
      </c>
      <c r="I784" s="48">
        <f t="shared" si="259"/>
        <v>0</v>
      </c>
      <c r="J784" s="49"/>
      <c r="K784" s="50">
        <f t="shared" si="260"/>
        <v>0</v>
      </c>
      <c r="L784" s="50"/>
      <c r="M784" s="48"/>
      <c r="N784" s="48">
        <f t="shared" si="261"/>
        <v>0</v>
      </c>
      <c r="O784" s="48">
        <f t="shared" si="262"/>
        <v>0</v>
      </c>
      <c r="P784" s="48">
        <f t="shared" si="263"/>
        <v>0</v>
      </c>
      <c r="Q784" s="48">
        <f t="shared" si="264"/>
        <v>0</v>
      </c>
      <c r="R784" s="41">
        <f t="shared" si="265"/>
        <v>0</v>
      </c>
    </row>
    <row r="785" spans="2:18" x14ac:dyDescent="0.2">
      <c r="B785" s="62" t="str">
        <f>IF(F785&lt;&gt;"",1+MAX($B$21:B784),"")</f>
        <v/>
      </c>
      <c r="C785" s="68"/>
      <c r="D785" s="74" t="s">
        <v>139</v>
      </c>
      <c r="E785" s="14"/>
      <c r="F785" s="19"/>
      <c r="G785" s="48"/>
      <c r="H785" s="48">
        <f t="shared" si="258"/>
        <v>0</v>
      </c>
      <c r="I785" s="48">
        <f t="shared" si="259"/>
        <v>0</v>
      </c>
      <c r="J785" s="49"/>
      <c r="K785" s="50">
        <f t="shared" si="260"/>
        <v>0</v>
      </c>
      <c r="L785" s="50"/>
      <c r="M785" s="48"/>
      <c r="N785" s="48">
        <f t="shared" si="261"/>
        <v>0</v>
      </c>
      <c r="O785" s="48">
        <f t="shared" si="262"/>
        <v>0</v>
      </c>
      <c r="P785" s="48">
        <f t="shared" si="263"/>
        <v>0</v>
      </c>
      <c r="Q785" s="48">
        <f t="shared" si="264"/>
        <v>0</v>
      </c>
      <c r="R785" s="41">
        <f t="shared" si="265"/>
        <v>0</v>
      </c>
    </row>
    <row r="786" spans="2:18" ht="63.75" x14ac:dyDescent="0.2">
      <c r="B786" s="61">
        <f>IF(F786&lt;&gt;"",1+MAX($B$21:B785),"")</f>
        <v>474</v>
      </c>
      <c r="C786" s="198" t="s">
        <v>633</v>
      </c>
      <c r="D786" s="73" t="s">
        <v>634</v>
      </c>
      <c r="E786" s="14" t="s">
        <v>79</v>
      </c>
      <c r="F786" s="14">
        <v>1</v>
      </c>
      <c r="G786" s="48">
        <v>161</v>
      </c>
      <c r="H786" s="48">
        <f t="shared" si="258"/>
        <v>153.27199999999999</v>
      </c>
      <c r="I786" s="48">
        <f t="shared" si="259"/>
        <v>153.27199999999999</v>
      </c>
      <c r="J786" s="49">
        <v>1.25</v>
      </c>
      <c r="K786" s="50">
        <f t="shared" si="260"/>
        <v>1.25</v>
      </c>
      <c r="L786" s="50" t="s">
        <v>1082</v>
      </c>
      <c r="M786" s="48">
        <v>61.3</v>
      </c>
      <c r="N786" s="48">
        <f t="shared" si="261"/>
        <v>44.810299999999998</v>
      </c>
      <c r="O786" s="48">
        <f t="shared" si="262"/>
        <v>56.012874999999994</v>
      </c>
      <c r="P786" s="48">
        <f t="shared" si="263"/>
        <v>56.012874999999994</v>
      </c>
      <c r="Q786" s="48">
        <f t="shared" si="264"/>
        <v>209.284875</v>
      </c>
      <c r="R786" s="41">
        <f t="shared" si="265"/>
        <v>293.95939342500003</v>
      </c>
    </row>
    <row r="787" spans="2:18" ht="63.75" x14ac:dyDescent="0.2">
      <c r="B787" s="61">
        <f>IF(F787&lt;&gt;"",1+MAX($B$21:B786),"")</f>
        <v>475</v>
      </c>
      <c r="C787" s="196"/>
      <c r="D787" s="73" t="s">
        <v>635</v>
      </c>
      <c r="E787" s="14" t="s">
        <v>79</v>
      </c>
      <c r="F787" s="14">
        <v>1</v>
      </c>
      <c r="G787" s="48">
        <v>154</v>
      </c>
      <c r="H787" s="48">
        <f t="shared" si="258"/>
        <v>146.608</v>
      </c>
      <c r="I787" s="48">
        <f t="shared" si="259"/>
        <v>146.608</v>
      </c>
      <c r="J787" s="49">
        <v>1.25</v>
      </c>
      <c r="K787" s="50">
        <f t="shared" si="260"/>
        <v>1.25</v>
      </c>
      <c r="L787" s="50" t="s">
        <v>1082</v>
      </c>
      <c r="M787" s="48">
        <v>61.3</v>
      </c>
      <c r="N787" s="48">
        <f t="shared" si="261"/>
        <v>44.810299999999998</v>
      </c>
      <c r="O787" s="48">
        <f t="shared" si="262"/>
        <v>56.012874999999994</v>
      </c>
      <c r="P787" s="48">
        <f t="shared" si="263"/>
        <v>56.012874999999994</v>
      </c>
      <c r="Q787" s="48">
        <f t="shared" si="264"/>
        <v>202.62087500000001</v>
      </c>
      <c r="R787" s="41">
        <f t="shared" si="265"/>
        <v>284.65378382500006</v>
      </c>
    </row>
    <row r="788" spans="2:18" ht="63.75" x14ac:dyDescent="0.2">
      <c r="B788" s="61">
        <f>IF(F788&lt;&gt;"",1+MAX($B$21:B787),"")</f>
        <v>476</v>
      </c>
      <c r="C788" s="197"/>
      <c r="D788" s="73" t="s">
        <v>636</v>
      </c>
      <c r="E788" s="14" t="s">
        <v>79</v>
      </c>
      <c r="F788" s="14">
        <v>1</v>
      </c>
      <c r="G788" s="48">
        <v>154</v>
      </c>
      <c r="H788" s="48">
        <f t="shared" si="258"/>
        <v>146.608</v>
      </c>
      <c r="I788" s="48">
        <f t="shared" si="259"/>
        <v>146.608</v>
      </c>
      <c r="J788" s="49">
        <v>1.25</v>
      </c>
      <c r="K788" s="50">
        <f t="shared" si="260"/>
        <v>1.25</v>
      </c>
      <c r="L788" s="50" t="s">
        <v>1082</v>
      </c>
      <c r="M788" s="48">
        <v>61.3</v>
      </c>
      <c r="N788" s="48">
        <f t="shared" si="261"/>
        <v>44.810299999999998</v>
      </c>
      <c r="O788" s="48">
        <f t="shared" si="262"/>
        <v>56.012874999999994</v>
      </c>
      <c r="P788" s="48">
        <f t="shared" si="263"/>
        <v>56.012874999999994</v>
      </c>
      <c r="Q788" s="48">
        <f t="shared" si="264"/>
        <v>202.62087500000001</v>
      </c>
      <c r="R788" s="41">
        <f t="shared" si="265"/>
        <v>284.65378382500006</v>
      </c>
    </row>
    <row r="789" spans="2:18" x14ac:dyDescent="0.2">
      <c r="B789" s="61" t="str">
        <f>IF(F789&lt;&gt;"",1+MAX($B$21:B788),"")</f>
        <v/>
      </c>
      <c r="C789" s="67"/>
      <c r="D789" s="73"/>
      <c r="E789" s="14"/>
      <c r="F789" s="19"/>
      <c r="G789" s="48"/>
      <c r="H789" s="48">
        <f t="shared" si="258"/>
        <v>0</v>
      </c>
      <c r="I789" s="48">
        <f t="shared" si="259"/>
        <v>0</v>
      </c>
      <c r="J789" s="49"/>
      <c r="K789" s="50">
        <f t="shared" si="260"/>
        <v>0</v>
      </c>
      <c r="L789" s="50"/>
      <c r="M789" s="48"/>
      <c r="N789" s="48">
        <f t="shared" si="261"/>
        <v>0</v>
      </c>
      <c r="O789" s="48">
        <f t="shared" si="262"/>
        <v>0</v>
      </c>
      <c r="P789" s="48">
        <f t="shared" si="263"/>
        <v>0</v>
      </c>
      <c r="Q789" s="48">
        <f t="shared" si="264"/>
        <v>0</v>
      </c>
      <c r="R789" s="41">
        <f t="shared" si="265"/>
        <v>0</v>
      </c>
    </row>
    <row r="790" spans="2:18" x14ac:dyDescent="0.2">
      <c r="B790" s="62" t="str">
        <f>IF(F790&lt;&gt;"",1+MAX($B$21:B789),"")</f>
        <v/>
      </c>
      <c r="C790" s="68"/>
      <c r="D790" s="74" t="s">
        <v>597</v>
      </c>
      <c r="E790" s="14"/>
      <c r="F790" s="19"/>
      <c r="G790" s="48"/>
      <c r="H790" s="48">
        <f t="shared" si="258"/>
        <v>0</v>
      </c>
      <c r="I790" s="48">
        <f t="shared" si="259"/>
        <v>0</v>
      </c>
      <c r="J790" s="49"/>
      <c r="K790" s="50">
        <f t="shared" si="260"/>
        <v>0</v>
      </c>
      <c r="L790" s="50"/>
      <c r="M790" s="48"/>
      <c r="N790" s="48">
        <f t="shared" si="261"/>
        <v>0</v>
      </c>
      <c r="O790" s="48">
        <f t="shared" si="262"/>
        <v>0</v>
      </c>
      <c r="P790" s="48">
        <f t="shared" si="263"/>
        <v>0</v>
      </c>
      <c r="Q790" s="48">
        <f t="shared" si="264"/>
        <v>0</v>
      </c>
      <c r="R790" s="41">
        <f t="shared" si="265"/>
        <v>0</v>
      </c>
    </row>
    <row r="791" spans="2:18" ht="114.75" x14ac:dyDescent="0.2">
      <c r="B791" s="61">
        <f>IF(F791&lt;&gt;"",1+MAX($B$21:B790),"")</f>
        <v>477</v>
      </c>
      <c r="C791" s="195" t="s">
        <v>639</v>
      </c>
      <c r="D791" s="73" t="s">
        <v>637</v>
      </c>
      <c r="E791" s="14" t="s">
        <v>79</v>
      </c>
      <c r="F791" s="14">
        <v>1</v>
      </c>
      <c r="G791" s="48">
        <v>12380</v>
      </c>
      <c r="H791" s="48">
        <f t="shared" si="258"/>
        <v>11785.76</v>
      </c>
      <c r="I791" s="48">
        <f t="shared" si="259"/>
        <v>11785.76</v>
      </c>
      <c r="J791" s="11">
        <v>26.271000000000001</v>
      </c>
      <c r="K791" s="7">
        <f t="shared" si="260"/>
        <v>26.271000000000001</v>
      </c>
      <c r="L791" s="28" t="s">
        <v>1083</v>
      </c>
      <c r="M791" s="29">
        <v>59</v>
      </c>
      <c r="N791" s="48">
        <f t="shared" si="261"/>
        <v>43.128999999999998</v>
      </c>
      <c r="O791" s="48">
        <f t="shared" si="262"/>
        <v>1133.0419589999999</v>
      </c>
      <c r="P791" s="48">
        <f t="shared" si="263"/>
        <v>1133.0419589999999</v>
      </c>
      <c r="Q791" s="48">
        <f t="shared" si="264"/>
        <v>12918.801959</v>
      </c>
      <c r="R791" s="41">
        <f t="shared" si="265"/>
        <v>18074.486139493001</v>
      </c>
    </row>
    <row r="792" spans="2:18" ht="114.75" x14ac:dyDescent="0.2">
      <c r="B792" s="61">
        <f>IF(F792&lt;&gt;"",1+MAX($B$21:B791),"")</f>
        <v>478</v>
      </c>
      <c r="C792" s="195"/>
      <c r="D792" s="73" t="s">
        <v>638</v>
      </c>
      <c r="E792" s="14" t="s">
        <v>79</v>
      </c>
      <c r="F792" s="19">
        <v>1</v>
      </c>
      <c r="G792" s="48">
        <v>12380</v>
      </c>
      <c r="H792" s="48">
        <f t="shared" si="258"/>
        <v>11785.76</v>
      </c>
      <c r="I792" s="48">
        <f t="shared" si="259"/>
        <v>11785.76</v>
      </c>
      <c r="J792" s="11">
        <v>26.271000000000001</v>
      </c>
      <c r="K792" s="7">
        <f t="shared" si="260"/>
        <v>26.271000000000001</v>
      </c>
      <c r="L792" s="28" t="s">
        <v>1083</v>
      </c>
      <c r="M792" s="29">
        <v>59</v>
      </c>
      <c r="N792" s="48">
        <f t="shared" si="261"/>
        <v>43.128999999999998</v>
      </c>
      <c r="O792" s="48">
        <f t="shared" si="262"/>
        <v>1133.0419589999999</v>
      </c>
      <c r="P792" s="48">
        <f t="shared" si="263"/>
        <v>1133.0419589999999</v>
      </c>
      <c r="Q792" s="48">
        <f t="shared" si="264"/>
        <v>12918.801959</v>
      </c>
      <c r="R792" s="41">
        <f t="shared" si="265"/>
        <v>18074.486139493001</v>
      </c>
    </row>
    <row r="793" spans="2:18" x14ac:dyDescent="0.2">
      <c r="B793" s="61" t="str">
        <f>IF(F793&lt;&gt;"",1+MAX($B$21:B792),"")</f>
        <v/>
      </c>
      <c r="C793" s="67"/>
      <c r="D793" s="73"/>
      <c r="E793" s="14"/>
      <c r="F793" s="19"/>
      <c r="G793" s="48"/>
      <c r="H793" s="48">
        <f t="shared" si="258"/>
        <v>0</v>
      </c>
      <c r="I793" s="48">
        <f t="shared" si="259"/>
        <v>0</v>
      </c>
      <c r="J793" s="49"/>
      <c r="K793" s="50">
        <f t="shared" si="260"/>
        <v>0</v>
      </c>
      <c r="L793" s="50"/>
      <c r="M793" s="48"/>
      <c r="N793" s="48">
        <f t="shared" si="261"/>
        <v>0</v>
      </c>
      <c r="O793" s="48">
        <f t="shared" si="262"/>
        <v>0</v>
      </c>
      <c r="P793" s="48">
        <f t="shared" si="263"/>
        <v>0</v>
      </c>
      <c r="Q793" s="48">
        <f t="shared" si="264"/>
        <v>0</v>
      </c>
      <c r="R793" s="41">
        <f t="shared" si="265"/>
        <v>0</v>
      </c>
    </row>
    <row r="794" spans="2:18" x14ac:dyDescent="0.2">
      <c r="B794" s="62" t="str">
        <f>IF(F794&lt;&gt;"",1+MAX($B$21:B793),"")</f>
        <v/>
      </c>
      <c r="C794" s="68"/>
      <c r="D794" s="74" t="s">
        <v>640</v>
      </c>
      <c r="E794" s="14"/>
      <c r="F794" s="19"/>
      <c r="G794" s="48"/>
      <c r="H794" s="48">
        <f t="shared" si="258"/>
        <v>0</v>
      </c>
      <c r="I794" s="48">
        <f t="shared" si="259"/>
        <v>0</v>
      </c>
      <c r="J794" s="49"/>
      <c r="K794" s="50">
        <f t="shared" si="260"/>
        <v>0</v>
      </c>
      <c r="L794" s="50"/>
      <c r="M794" s="48"/>
      <c r="N794" s="48">
        <f t="shared" si="261"/>
        <v>0</v>
      </c>
      <c r="O794" s="48">
        <f t="shared" si="262"/>
        <v>0</v>
      </c>
      <c r="P794" s="48">
        <f t="shared" si="263"/>
        <v>0</v>
      </c>
      <c r="Q794" s="48">
        <f t="shared" si="264"/>
        <v>0</v>
      </c>
      <c r="R794" s="41">
        <f t="shared" si="265"/>
        <v>0</v>
      </c>
    </row>
    <row r="795" spans="2:18" ht="102" x14ac:dyDescent="0.2">
      <c r="B795" s="61">
        <f>IF(F795&lt;&gt;"",1+MAX($B$21:B794),"")</f>
        <v>479</v>
      </c>
      <c r="C795" s="67" t="s">
        <v>639</v>
      </c>
      <c r="D795" s="73" t="s">
        <v>641</v>
      </c>
      <c r="E795" s="14" t="s">
        <v>79</v>
      </c>
      <c r="F795" s="19">
        <v>1</v>
      </c>
      <c r="G795" s="48">
        <f>4012.69</f>
        <v>4012.69</v>
      </c>
      <c r="H795" s="48">
        <f t="shared" si="258"/>
        <v>3820.08088</v>
      </c>
      <c r="I795" s="48">
        <f t="shared" si="259"/>
        <v>3820.08088</v>
      </c>
      <c r="J795" s="11">
        <v>12</v>
      </c>
      <c r="K795" s="7">
        <f t="shared" ref="K795" si="266">F795*J795</f>
        <v>12</v>
      </c>
      <c r="L795" s="28" t="s">
        <v>1083</v>
      </c>
      <c r="M795" s="29">
        <v>59</v>
      </c>
      <c r="N795" s="48">
        <f t="shared" si="261"/>
        <v>43.128999999999998</v>
      </c>
      <c r="O795" s="48">
        <f t="shared" ref="O795" si="267">J795*N795</f>
        <v>517.548</v>
      </c>
      <c r="P795" s="48">
        <f t="shared" si="263"/>
        <v>517.548</v>
      </c>
      <c r="Q795" s="48">
        <f t="shared" si="264"/>
        <v>4337.6288800000002</v>
      </c>
      <c r="R795" s="41">
        <f t="shared" si="265"/>
        <v>6072.9019368319996</v>
      </c>
    </row>
    <row r="796" spans="2:18" x14ac:dyDescent="0.2">
      <c r="B796" s="61" t="str">
        <f>IF(F796&lt;&gt;"",1+MAX($B$21:B795),"")</f>
        <v/>
      </c>
      <c r="C796" s="67"/>
      <c r="D796" s="73"/>
      <c r="E796" s="14"/>
      <c r="F796" s="19"/>
      <c r="G796" s="48"/>
      <c r="H796" s="48">
        <f t="shared" si="258"/>
        <v>0</v>
      </c>
      <c r="I796" s="48">
        <f t="shared" si="259"/>
        <v>0</v>
      </c>
      <c r="J796" s="49"/>
      <c r="K796" s="50">
        <f t="shared" si="260"/>
        <v>0</v>
      </c>
      <c r="L796" s="50"/>
      <c r="M796" s="48"/>
      <c r="N796" s="48">
        <f t="shared" si="261"/>
        <v>0</v>
      </c>
      <c r="O796" s="48">
        <f t="shared" si="262"/>
        <v>0</v>
      </c>
      <c r="P796" s="48">
        <f t="shared" si="263"/>
        <v>0</v>
      </c>
      <c r="Q796" s="48">
        <f t="shared" si="264"/>
        <v>0</v>
      </c>
      <c r="R796" s="41">
        <f t="shared" si="265"/>
        <v>0</v>
      </c>
    </row>
    <row r="797" spans="2:18" x14ac:dyDescent="0.2">
      <c r="B797" s="62" t="str">
        <f>IF(F797&lt;&gt;"",1+MAX($B$21:B796),"")</f>
        <v/>
      </c>
      <c r="C797" s="68"/>
      <c r="D797" s="74" t="s">
        <v>614</v>
      </c>
      <c r="E797" s="14"/>
      <c r="F797" s="19"/>
      <c r="G797" s="48"/>
      <c r="H797" s="48">
        <f t="shared" si="258"/>
        <v>0</v>
      </c>
      <c r="I797" s="48">
        <f t="shared" si="259"/>
        <v>0</v>
      </c>
      <c r="J797" s="49"/>
      <c r="K797" s="50">
        <f t="shared" si="260"/>
        <v>0</v>
      </c>
      <c r="L797" s="50"/>
      <c r="M797" s="48"/>
      <c r="N797" s="48">
        <f t="shared" si="261"/>
        <v>0</v>
      </c>
      <c r="O797" s="48">
        <f t="shared" si="262"/>
        <v>0</v>
      </c>
      <c r="P797" s="48">
        <f t="shared" si="263"/>
        <v>0</v>
      </c>
      <c r="Q797" s="48">
        <f t="shared" si="264"/>
        <v>0</v>
      </c>
      <c r="R797" s="41">
        <f t="shared" si="265"/>
        <v>0</v>
      </c>
    </row>
    <row r="798" spans="2:18" x14ac:dyDescent="0.2">
      <c r="B798" s="61">
        <f>IF(F798&lt;&gt;"",1+MAX($B$21:B797),"")</f>
        <v>480</v>
      </c>
      <c r="C798" s="67" t="s">
        <v>639</v>
      </c>
      <c r="D798" s="73" t="s">
        <v>615</v>
      </c>
      <c r="E798" s="14" t="s">
        <v>79</v>
      </c>
      <c r="F798" s="19">
        <v>1</v>
      </c>
      <c r="G798" s="48">
        <v>85</v>
      </c>
      <c r="H798" s="48">
        <f t="shared" si="258"/>
        <v>80.92</v>
      </c>
      <c r="I798" s="48">
        <f t="shared" si="259"/>
        <v>80.92</v>
      </c>
      <c r="J798" s="49">
        <v>1.5</v>
      </c>
      <c r="K798" s="50">
        <f t="shared" si="260"/>
        <v>1.5</v>
      </c>
      <c r="L798" s="50" t="s">
        <v>1076</v>
      </c>
      <c r="M798" s="48">
        <v>64.45</v>
      </c>
      <c r="N798" s="48">
        <f t="shared" si="261"/>
        <v>47.112949999999998</v>
      </c>
      <c r="O798" s="48">
        <f t="shared" si="262"/>
        <v>70.66942499999999</v>
      </c>
      <c r="P798" s="48">
        <f t="shared" si="263"/>
        <v>70.66942499999999</v>
      </c>
      <c r="Q798" s="48">
        <f t="shared" si="264"/>
        <v>151.58942500000001</v>
      </c>
      <c r="R798" s="41">
        <f t="shared" si="265"/>
        <v>213.84195747500004</v>
      </c>
    </row>
    <row r="799" spans="2:18" x14ac:dyDescent="0.2">
      <c r="B799" s="61" t="str">
        <f>IF(F799&lt;&gt;"",1+MAX($B$21:B798),"")</f>
        <v/>
      </c>
      <c r="C799" s="67"/>
      <c r="D799" s="73"/>
      <c r="E799" s="14"/>
      <c r="F799" s="19"/>
      <c r="G799" s="48"/>
      <c r="H799" s="48">
        <f t="shared" si="258"/>
        <v>0</v>
      </c>
      <c r="I799" s="48">
        <f t="shared" si="259"/>
        <v>0</v>
      </c>
      <c r="J799" s="49"/>
      <c r="K799" s="50">
        <f t="shared" si="260"/>
        <v>0</v>
      </c>
      <c r="L799" s="50"/>
      <c r="M799" s="48"/>
      <c r="N799" s="48">
        <f t="shared" si="261"/>
        <v>0</v>
      </c>
      <c r="O799" s="48">
        <f t="shared" si="262"/>
        <v>0</v>
      </c>
      <c r="P799" s="48">
        <f t="shared" si="263"/>
        <v>0</v>
      </c>
      <c r="Q799" s="48">
        <f t="shared" si="264"/>
        <v>0</v>
      </c>
      <c r="R799" s="41">
        <f t="shared" si="265"/>
        <v>0</v>
      </c>
    </row>
    <row r="800" spans="2:18" x14ac:dyDescent="0.2">
      <c r="B800" s="62" t="str">
        <f>IF(F800&lt;&gt;"",1+MAX($B$21:B799),"")</f>
        <v/>
      </c>
      <c r="C800" s="68"/>
      <c r="D800" s="74" t="s">
        <v>600</v>
      </c>
      <c r="E800" s="14"/>
      <c r="F800" s="19"/>
      <c r="G800" s="48"/>
      <c r="H800" s="48">
        <f t="shared" si="258"/>
        <v>0</v>
      </c>
      <c r="I800" s="48">
        <f t="shared" si="259"/>
        <v>0</v>
      </c>
      <c r="J800" s="49"/>
      <c r="K800" s="50">
        <f t="shared" si="260"/>
        <v>0</v>
      </c>
      <c r="L800" s="50"/>
      <c r="M800" s="48"/>
      <c r="N800" s="48">
        <f t="shared" si="261"/>
        <v>0</v>
      </c>
      <c r="O800" s="48">
        <f t="shared" si="262"/>
        <v>0</v>
      </c>
      <c r="P800" s="48">
        <f t="shared" si="263"/>
        <v>0</v>
      </c>
      <c r="Q800" s="48">
        <f t="shared" si="264"/>
        <v>0</v>
      </c>
      <c r="R800" s="41">
        <f t="shared" si="265"/>
        <v>0</v>
      </c>
    </row>
    <row r="801" spans="2:18" x14ac:dyDescent="0.2">
      <c r="B801" s="61">
        <f>IF(F801&lt;&gt;"",1+MAX($B$21:B800),"")</f>
        <v>481</v>
      </c>
      <c r="C801" s="195" t="s">
        <v>643</v>
      </c>
      <c r="D801" s="73" t="s">
        <v>601</v>
      </c>
      <c r="E801" s="14" t="s">
        <v>79</v>
      </c>
      <c r="F801" s="14">
        <v>2</v>
      </c>
      <c r="G801" s="48">
        <v>220</v>
      </c>
      <c r="H801" s="48">
        <f t="shared" si="258"/>
        <v>209.44</v>
      </c>
      <c r="I801" s="48">
        <f t="shared" si="259"/>
        <v>418.88</v>
      </c>
      <c r="J801" s="49">
        <v>0.75</v>
      </c>
      <c r="K801" s="50">
        <f t="shared" si="260"/>
        <v>1.5</v>
      </c>
      <c r="L801" s="28" t="s">
        <v>1082</v>
      </c>
      <c r="M801" s="29">
        <v>61.3</v>
      </c>
      <c r="N801" s="48">
        <f t="shared" si="261"/>
        <v>44.810299999999998</v>
      </c>
      <c r="O801" s="48">
        <f t="shared" si="262"/>
        <v>33.607725000000002</v>
      </c>
      <c r="P801" s="48">
        <f t="shared" si="263"/>
        <v>67.215450000000004</v>
      </c>
      <c r="Q801" s="48">
        <f t="shared" si="264"/>
        <v>486.09545000000003</v>
      </c>
      <c r="R801" s="41">
        <f t="shared" si="265"/>
        <v>680.84047915000008</v>
      </c>
    </row>
    <row r="802" spans="2:18" x14ac:dyDescent="0.2">
      <c r="B802" s="61">
        <f>IF(F802&lt;&gt;"",1+MAX($B$21:B801),"")</f>
        <v>482</v>
      </c>
      <c r="C802" s="195"/>
      <c r="D802" s="73" t="s">
        <v>602</v>
      </c>
      <c r="E802" s="14" t="s">
        <v>79</v>
      </c>
      <c r="F802" s="14">
        <v>2</v>
      </c>
      <c r="G802" s="48">
        <v>160</v>
      </c>
      <c r="H802" s="48">
        <f t="shared" si="258"/>
        <v>152.32</v>
      </c>
      <c r="I802" s="48">
        <f t="shared" si="259"/>
        <v>304.64</v>
      </c>
      <c r="J802" s="49">
        <v>0.75</v>
      </c>
      <c r="K802" s="50">
        <f t="shared" si="260"/>
        <v>1.5</v>
      </c>
      <c r="L802" s="28" t="s">
        <v>1082</v>
      </c>
      <c r="M802" s="29">
        <v>61.3</v>
      </c>
      <c r="N802" s="48">
        <f t="shared" si="261"/>
        <v>44.810299999999998</v>
      </c>
      <c r="O802" s="48">
        <f t="shared" si="262"/>
        <v>33.607725000000002</v>
      </c>
      <c r="P802" s="48">
        <f t="shared" si="263"/>
        <v>67.215450000000004</v>
      </c>
      <c r="Q802" s="48">
        <f t="shared" si="264"/>
        <v>371.85545000000002</v>
      </c>
      <c r="R802" s="41">
        <f t="shared" si="265"/>
        <v>521.31574315</v>
      </c>
    </row>
    <row r="803" spans="2:18" x14ac:dyDescent="0.2">
      <c r="B803" s="61">
        <f>IF(F803&lt;&gt;"",1+MAX($B$21:B802),"")</f>
        <v>483</v>
      </c>
      <c r="C803" s="195"/>
      <c r="D803" s="73" t="s">
        <v>603</v>
      </c>
      <c r="E803" s="14" t="s">
        <v>79</v>
      </c>
      <c r="F803" s="14">
        <v>2</v>
      </c>
      <c r="G803" s="48">
        <v>250</v>
      </c>
      <c r="H803" s="48">
        <f t="shared" si="258"/>
        <v>238</v>
      </c>
      <c r="I803" s="48">
        <f t="shared" si="259"/>
        <v>476</v>
      </c>
      <c r="J803" s="49">
        <v>1</v>
      </c>
      <c r="K803" s="50">
        <f t="shared" si="260"/>
        <v>2</v>
      </c>
      <c r="L803" s="28" t="s">
        <v>1082</v>
      </c>
      <c r="M803" s="29">
        <v>61.3</v>
      </c>
      <c r="N803" s="48">
        <f t="shared" si="261"/>
        <v>44.810299999999998</v>
      </c>
      <c r="O803" s="48">
        <f t="shared" si="262"/>
        <v>44.810299999999998</v>
      </c>
      <c r="P803" s="48">
        <f t="shared" si="263"/>
        <v>89.620599999999996</v>
      </c>
      <c r="Q803" s="48">
        <f t="shared" si="264"/>
        <v>565.62059999999997</v>
      </c>
      <c r="R803" s="41">
        <f t="shared" si="265"/>
        <v>792.57499619999999</v>
      </c>
    </row>
    <row r="804" spans="2:18" x14ac:dyDescent="0.2">
      <c r="B804" s="61">
        <f>IF(F804&lt;&gt;"",1+MAX($B$21:B803),"")</f>
        <v>484</v>
      </c>
      <c r="C804" s="195"/>
      <c r="D804" s="73" t="s">
        <v>604</v>
      </c>
      <c r="E804" s="14" t="s">
        <v>79</v>
      </c>
      <c r="F804" s="14">
        <v>1</v>
      </c>
      <c r="G804" s="48">
        <v>325</v>
      </c>
      <c r="H804" s="48">
        <f t="shared" ref="H804:H821" si="268">G804*$T$2</f>
        <v>309.39999999999998</v>
      </c>
      <c r="I804" s="48">
        <f t="shared" ref="I804:I821" si="269">F804*H804</f>
        <v>309.39999999999998</v>
      </c>
      <c r="J804" s="49">
        <v>1</v>
      </c>
      <c r="K804" s="50">
        <f t="shared" ref="K804:K821" si="270">F804*J804</f>
        <v>1</v>
      </c>
      <c r="L804" s="28" t="s">
        <v>1082</v>
      </c>
      <c r="M804" s="29">
        <v>61.3</v>
      </c>
      <c r="N804" s="48">
        <f t="shared" ref="N804:N821" si="271">M804*$U$2</f>
        <v>44.810299999999998</v>
      </c>
      <c r="O804" s="48">
        <f t="shared" ref="O804:O821" si="272">J804*N804</f>
        <v>44.810299999999998</v>
      </c>
      <c r="P804" s="48">
        <f t="shared" ref="P804:P821" si="273">F804*O804</f>
        <v>44.810299999999998</v>
      </c>
      <c r="Q804" s="48">
        <f t="shared" ref="Q804:Q821" si="274">I804+P804</f>
        <v>354.21029999999996</v>
      </c>
      <c r="R804" s="41">
        <f t="shared" ref="R804:R821" si="275">Q804+(I804*$Q$7)+(P804*$Q$8)+(Q804*$Q$9)+(Q804*$Q$11)+($Q$10*(Q804+(I804*$Q$7)+(P804*$Q$8)+(Q804*$Q$9)))</f>
        <v>495.99045809999996</v>
      </c>
    </row>
    <row r="805" spans="2:18" x14ac:dyDescent="0.2">
      <c r="B805" s="61">
        <f>IF(F805&lt;&gt;"",1+MAX($B$21:B804),"")</f>
        <v>485</v>
      </c>
      <c r="C805" s="195"/>
      <c r="D805" s="73" t="s">
        <v>605</v>
      </c>
      <c r="E805" s="14" t="s">
        <v>79</v>
      </c>
      <c r="F805" s="14">
        <v>4</v>
      </c>
      <c r="G805" s="48">
        <v>85</v>
      </c>
      <c r="H805" s="48">
        <f t="shared" si="268"/>
        <v>80.92</v>
      </c>
      <c r="I805" s="48">
        <f t="shared" si="269"/>
        <v>323.68</v>
      </c>
      <c r="J805" s="49">
        <v>0.5</v>
      </c>
      <c r="K805" s="50">
        <f t="shared" si="270"/>
        <v>2</v>
      </c>
      <c r="L805" s="28" t="s">
        <v>1082</v>
      </c>
      <c r="M805" s="29">
        <v>61.3</v>
      </c>
      <c r="N805" s="48">
        <f t="shared" si="271"/>
        <v>44.810299999999998</v>
      </c>
      <c r="O805" s="48">
        <f t="shared" si="272"/>
        <v>22.405149999999999</v>
      </c>
      <c r="P805" s="48">
        <f t="shared" si="273"/>
        <v>89.620599999999996</v>
      </c>
      <c r="Q805" s="48">
        <f t="shared" si="274"/>
        <v>413.30060000000003</v>
      </c>
      <c r="R805" s="41">
        <f t="shared" si="275"/>
        <v>579.87534819999996</v>
      </c>
    </row>
    <row r="806" spans="2:18" x14ac:dyDescent="0.2">
      <c r="B806" s="61">
        <f>IF(F806&lt;&gt;"",1+MAX($B$21:B805),"")</f>
        <v>486</v>
      </c>
      <c r="C806" s="195"/>
      <c r="D806" s="73" t="s">
        <v>606</v>
      </c>
      <c r="E806" s="14" t="s">
        <v>79</v>
      </c>
      <c r="F806" s="14">
        <v>2</v>
      </c>
      <c r="G806" s="48">
        <v>110</v>
      </c>
      <c r="H806" s="48">
        <f t="shared" si="268"/>
        <v>104.72</v>
      </c>
      <c r="I806" s="48">
        <f t="shared" si="269"/>
        <v>209.44</v>
      </c>
      <c r="J806" s="49">
        <v>0.75</v>
      </c>
      <c r="K806" s="50">
        <f t="shared" si="270"/>
        <v>1.5</v>
      </c>
      <c r="L806" s="28" t="s">
        <v>1082</v>
      </c>
      <c r="M806" s="29">
        <v>61.3</v>
      </c>
      <c r="N806" s="48">
        <f t="shared" si="271"/>
        <v>44.810299999999998</v>
      </c>
      <c r="O806" s="48">
        <f t="shared" si="272"/>
        <v>33.607725000000002</v>
      </c>
      <c r="P806" s="48">
        <f t="shared" si="273"/>
        <v>67.215450000000004</v>
      </c>
      <c r="Q806" s="48">
        <f t="shared" si="274"/>
        <v>276.65544999999997</v>
      </c>
      <c r="R806" s="41">
        <f t="shared" si="275"/>
        <v>388.3784631499999</v>
      </c>
    </row>
    <row r="807" spans="2:18" x14ac:dyDescent="0.2">
      <c r="B807" s="61">
        <f>IF(F807&lt;&gt;"",1+MAX($B$21:B806),"")</f>
        <v>487</v>
      </c>
      <c r="C807" s="195"/>
      <c r="D807" s="73" t="s">
        <v>607</v>
      </c>
      <c r="E807" s="14" t="s">
        <v>79</v>
      </c>
      <c r="F807" s="14">
        <v>4</v>
      </c>
      <c r="G807" s="12">
        <v>180</v>
      </c>
      <c r="H807" s="12">
        <f t="shared" si="268"/>
        <v>171.35999999999999</v>
      </c>
      <c r="I807" s="12">
        <f t="shared" si="269"/>
        <v>685.43999999999994</v>
      </c>
      <c r="J807" s="11">
        <v>0.4</v>
      </c>
      <c r="K807" s="7">
        <f t="shared" si="270"/>
        <v>1.6</v>
      </c>
      <c r="L807" s="28" t="s">
        <v>1082</v>
      </c>
      <c r="M807" s="29">
        <v>61.3</v>
      </c>
      <c r="N807" s="48">
        <f t="shared" si="271"/>
        <v>44.810299999999998</v>
      </c>
      <c r="O807" s="48">
        <f t="shared" si="272"/>
        <v>17.924119999999998</v>
      </c>
      <c r="P807" s="48">
        <f t="shared" si="273"/>
        <v>71.696479999999994</v>
      </c>
      <c r="Q807" s="48">
        <f t="shared" si="274"/>
        <v>757.13647999999989</v>
      </c>
      <c r="R807" s="41">
        <f t="shared" si="275"/>
        <v>1059.4592929600001</v>
      </c>
    </row>
    <row r="808" spans="2:18" x14ac:dyDescent="0.2">
      <c r="B808" s="61" t="str">
        <f>IF(F808&lt;&gt;"",1+MAX($B$21:B807),"")</f>
        <v/>
      </c>
      <c r="C808" s="67"/>
      <c r="D808" s="73"/>
      <c r="E808" s="14"/>
      <c r="F808" s="19"/>
      <c r="G808" s="48"/>
      <c r="H808" s="48">
        <f t="shared" si="268"/>
        <v>0</v>
      </c>
      <c r="I808" s="48">
        <f t="shared" si="269"/>
        <v>0</v>
      </c>
      <c r="J808" s="49"/>
      <c r="K808" s="50">
        <f t="shared" si="270"/>
        <v>0</v>
      </c>
      <c r="L808" s="50"/>
      <c r="M808" s="48"/>
      <c r="N808" s="48">
        <f t="shared" si="271"/>
        <v>0</v>
      </c>
      <c r="O808" s="48">
        <f t="shared" si="272"/>
        <v>0</v>
      </c>
      <c r="P808" s="48">
        <f t="shared" si="273"/>
        <v>0</v>
      </c>
      <c r="Q808" s="48">
        <f t="shared" si="274"/>
        <v>0</v>
      </c>
      <c r="R808" s="41">
        <f t="shared" si="275"/>
        <v>0</v>
      </c>
    </row>
    <row r="809" spans="2:18" x14ac:dyDescent="0.2">
      <c r="B809" s="62" t="str">
        <f>IF(F809&lt;&gt;"",1+MAX($B$21:B808),"")</f>
        <v/>
      </c>
      <c r="C809" s="68"/>
      <c r="D809" s="74" t="s">
        <v>598</v>
      </c>
      <c r="E809" s="14"/>
      <c r="F809" s="19"/>
      <c r="G809" s="48"/>
      <c r="H809" s="48">
        <f t="shared" si="268"/>
        <v>0</v>
      </c>
      <c r="I809" s="48">
        <f t="shared" si="269"/>
        <v>0</v>
      </c>
      <c r="J809" s="49"/>
      <c r="K809" s="50">
        <f t="shared" si="270"/>
        <v>0</v>
      </c>
      <c r="L809" s="50"/>
      <c r="M809" s="48"/>
      <c r="N809" s="48">
        <f t="shared" si="271"/>
        <v>0</v>
      </c>
      <c r="O809" s="48">
        <f t="shared" si="272"/>
        <v>0</v>
      </c>
      <c r="P809" s="48">
        <f t="shared" si="273"/>
        <v>0</v>
      </c>
      <c r="Q809" s="48">
        <f t="shared" si="274"/>
        <v>0</v>
      </c>
      <c r="R809" s="41">
        <f t="shared" si="275"/>
        <v>0</v>
      </c>
    </row>
    <row r="810" spans="2:18" x14ac:dyDescent="0.2">
      <c r="B810" s="61">
        <f>IF(F810&lt;&gt;"",1+MAX($B$21:B809),"")</f>
        <v>488</v>
      </c>
      <c r="C810" s="67" t="s">
        <v>639</v>
      </c>
      <c r="D810" s="73" t="s">
        <v>599</v>
      </c>
      <c r="E810" s="14" t="s">
        <v>79</v>
      </c>
      <c r="F810" s="19">
        <v>1</v>
      </c>
      <c r="G810" s="48">
        <v>950</v>
      </c>
      <c r="H810" s="48">
        <f t="shared" si="268"/>
        <v>904.4</v>
      </c>
      <c r="I810" s="48">
        <f t="shared" si="269"/>
        <v>904.4</v>
      </c>
      <c r="J810" s="49">
        <v>3.5</v>
      </c>
      <c r="K810" s="50">
        <f t="shared" si="270"/>
        <v>3.5</v>
      </c>
      <c r="L810" s="28" t="s">
        <v>1084</v>
      </c>
      <c r="M810" s="29">
        <v>57.49</v>
      </c>
      <c r="N810" s="48">
        <f t="shared" si="271"/>
        <v>42.025190000000002</v>
      </c>
      <c r="O810" s="48">
        <f t="shared" si="272"/>
        <v>147.088165</v>
      </c>
      <c r="P810" s="48">
        <f t="shared" si="273"/>
        <v>147.088165</v>
      </c>
      <c r="Q810" s="48">
        <f t="shared" si="274"/>
        <v>1051.488165</v>
      </c>
      <c r="R810" s="41">
        <f t="shared" si="275"/>
        <v>1472.7989714549999</v>
      </c>
    </row>
    <row r="811" spans="2:18" x14ac:dyDescent="0.2">
      <c r="B811" s="61" t="str">
        <f>IF(F811&lt;&gt;"",1+MAX($B$21:B810),"")</f>
        <v/>
      </c>
      <c r="C811" s="67"/>
      <c r="D811" s="73"/>
      <c r="E811" s="14"/>
      <c r="F811" s="19"/>
      <c r="G811" s="48"/>
      <c r="H811" s="48">
        <f t="shared" si="268"/>
        <v>0</v>
      </c>
      <c r="I811" s="48">
        <f t="shared" si="269"/>
        <v>0</v>
      </c>
      <c r="J811" s="49"/>
      <c r="K811" s="50">
        <f t="shared" si="270"/>
        <v>0</v>
      </c>
      <c r="L811" s="50"/>
      <c r="M811" s="48"/>
      <c r="N811" s="48">
        <f t="shared" si="271"/>
        <v>0</v>
      </c>
      <c r="O811" s="48">
        <f t="shared" si="272"/>
        <v>0</v>
      </c>
      <c r="P811" s="48">
        <f t="shared" si="273"/>
        <v>0</v>
      </c>
      <c r="Q811" s="48">
        <f t="shared" si="274"/>
        <v>0</v>
      </c>
      <c r="R811" s="41">
        <f t="shared" si="275"/>
        <v>0</v>
      </c>
    </row>
    <row r="812" spans="2:18" x14ac:dyDescent="0.2">
      <c r="B812" s="62" t="str">
        <f>IF(F812&lt;&gt;"",1+MAX($B$21:B811),"")</f>
        <v/>
      </c>
      <c r="C812" s="68"/>
      <c r="D812" s="74" t="s">
        <v>642</v>
      </c>
      <c r="E812" s="14"/>
      <c r="F812" s="19"/>
      <c r="G812" s="48"/>
      <c r="H812" s="48">
        <f t="shared" si="268"/>
        <v>0</v>
      </c>
      <c r="I812" s="48">
        <f t="shared" si="269"/>
        <v>0</v>
      </c>
      <c r="J812" s="49"/>
      <c r="K812" s="50">
        <f t="shared" si="270"/>
        <v>0</v>
      </c>
      <c r="L812" s="50"/>
      <c r="M812" s="48"/>
      <c r="N812" s="48">
        <f t="shared" si="271"/>
        <v>0</v>
      </c>
      <c r="O812" s="48">
        <f t="shared" si="272"/>
        <v>0</v>
      </c>
      <c r="P812" s="48">
        <f t="shared" si="273"/>
        <v>0</v>
      </c>
      <c r="Q812" s="48">
        <f t="shared" si="274"/>
        <v>0</v>
      </c>
      <c r="R812" s="41">
        <f t="shared" si="275"/>
        <v>0</v>
      </c>
    </row>
    <row r="813" spans="2:18" x14ac:dyDescent="0.2">
      <c r="B813" s="61">
        <f>IF(F813&lt;&gt;"",1+MAX($B$21:B812),"")</f>
        <v>489</v>
      </c>
      <c r="C813" s="198" t="s">
        <v>633</v>
      </c>
      <c r="D813" s="73" t="s">
        <v>608</v>
      </c>
      <c r="E813" s="14" t="s">
        <v>79</v>
      </c>
      <c r="F813" s="19">
        <v>13</v>
      </c>
      <c r="G813" s="12">
        <v>46</v>
      </c>
      <c r="H813" s="12">
        <f t="shared" si="268"/>
        <v>43.792000000000002</v>
      </c>
      <c r="I813" s="12">
        <f t="shared" si="269"/>
        <v>569.29600000000005</v>
      </c>
      <c r="J813" s="11">
        <v>0.38100000000000001</v>
      </c>
      <c r="K813" s="7">
        <f t="shared" si="270"/>
        <v>4.9530000000000003</v>
      </c>
      <c r="L813" s="28" t="s">
        <v>1081</v>
      </c>
      <c r="M813" s="29">
        <v>62.3</v>
      </c>
      <c r="N813" s="48">
        <f t="shared" si="271"/>
        <v>45.5413</v>
      </c>
      <c r="O813" s="48">
        <f t="shared" si="272"/>
        <v>17.351235299999999</v>
      </c>
      <c r="P813" s="48">
        <f t="shared" si="273"/>
        <v>225.56605889999997</v>
      </c>
      <c r="Q813" s="48">
        <f t="shared" si="274"/>
        <v>794.86205889999997</v>
      </c>
      <c r="R813" s="41">
        <f t="shared" si="275"/>
        <v>1116.8477004503</v>
      </c>
    </row>
    <row r="814" spans="2:18" x14ac:dyDescent="0.2">
      <c r="B814" s="61">
        <f>IF(F814&lt;&gt;"",1+MAX($B$21:B813),"")</f>
        <v>490</v>
      </c>
      <c r="C814" s="196"/>
      <c r="D814" s="73" t="s">
        <v>609</v>
      </c>
      <c r="E814" s="14" t="s">
        <v>79</v>
      </c>
      <c r="F814" s="19">
        <v>1</v>
      </c>
      <c r="G814" s="12">
        <v>38</v>
      </c>
      <c r="H814" s="12">
        <f t="shared" si="268"/>
        <v>36.176000000000002</v>
      </c>
      <c r="I814" s="12">
        <f t="shared" si="269"/>
        <v>36.176000000000002</v>
      </c>
      <c r="J814" s="11">
        <v>0.38100000000000001</v>
      </c>
      <c r="K814" s="7">
        <f t="shared" si="270"/>
        <v>0.38100000000000001</v>
      </c>
      <c r="L814" s="28" t="s">
        <v>1081</v>
      </c>
      <c r="M814" s="29">
        <v>62.3</v>
      </c>
      <c r="N814" s="48">
        <f t="shared" si="271"/>
        <v>45.5413</v>
      </c>
      <c r="O814" s="48">
        <f t="shared" si="272"/>
        <v>17.351235299999999</v>
      </c>
      <c r="P814" s="48">
        <f t="shared" si="273"/>
        <v>17.351235299999999</v>
      </c>
      <c r="Q814" s="48">
        <f t="shared" si="274"/>
        <v>53.527235300000001</v>
      </c>
      <c r="R814" s="41">
        <f t="shared" si="275"/>
        <v>75.276379173099997</v>
      </c>
    </row>
    <row r="815" spans="2:18" x14ac:dyDescent="0.2">
      <c r="B815" s="61">
        <f>IF(F815&lt;&gt;"",1+MAX($B$21:B814),"")</f>
        <v>491</v>
      </c>
      <c r="C815" s="197"/>
      <c r="D815" s="73" t="s">
        <v>610</v>
      </c>
      <c r="E815" s="14" t="s">
        <v>79</v>
      </c>
      <c r="F815" s="19">
        <v>1</v>
      </c>
      <c r="G815" s="12">
        <v>34</v>
      </c>
      <c r="H815" s="12">
        <f t="shared" si="268"/>
        <v>32.367999999999995</v>
      </c>
      <c r="I815" s="12">
        <f t="shared" si="269"/>
        <v>32.367999999999995</v>
      </c>
      <c r="J815" s="11">
        <v>0.36399999999999999</v>
      </c>
      <c r="K815" s="7">
        <f t="shared" si="270"/>
        <v>0.36399999999999999</v>
      </c>
      <c r="L815" s="28" t="s">
        <v>1081</v>
      </c>
      <c r="M815" s="29">
        <v>62.3</v>
      </c>
      <c r="N815" s="48">
        <f t="shared" si="271"/>
        <v>45.5413</v>
      </c>
      <c r="O815" s="48">
        <f t="shared" si="272"/>
        <v>16.577033199999999</v>
      </c>
      <c r="P815" s="48">
        <f t="shared" si="273"/>
        <v>16.577033199999999</v>
      </c>
      <c r="Q815" s="48">
        <f t="shared" si="274"/>
        <v>48.945033199999997</v>
      </c>
      <c r="R815" s="41">
        <f t="shared" si="275"/>
        <v>68.854101576399998</v>
      </c>
    </row>
    <row r="816" spans="2:18" x14ac:dyDescent="0.2">
      <c r="B816" s="61" t="str">
        <f>IF(F816&lt;&gt;"",1+MAX($B$21:B815),"")</f>
        <v/>
      </c>
      <c r="C816" s="67"/>
      <c r="D816" s="73"/>
      <c r="E816" s="14"/>
      <c r="F816" s="19"/>
      <c r="G816" s="48"/>
      <c r="H816" s="48">
        <f t="shared" si="268"/>
        <v>0</v>
      </c>
      <c r="I816" s="48">
        <f t="shared" si="269"/>
        <v>0</v>
      </c>
      <c r="J816" s="49"/>
      <c r="K816" s="50">
        <f t="shared" si="270"/>
        <v>0</v>
      </c>
      <c r="L816" s="50"/>
      <c r="M816" s="48"/>
      <c r="N816" s="48">
        <f t="shared" si="271"/>
        <v>0</v>
      </c>
      <c r="O816" s="48">
        <f t="shared" si="272"/>
        <v>0</v>
      </c>
      <c r="P816" s="48">
        <f t="shared" si="273"/>
        <v>0</v>
      </c>
      <c r="Q816" s="48">
        <f t="shared" si="274"/>
        <v>0</v>
      </c>
      <c r="R816" s="41">
        <f t="shared" si="275"/>
        <v>0</v>
      </c>
    </row>
    <row r="817" spans="2:19" x14ac:dyDescent="0.2">
      <c r="B817" s="62" t="str">
        <f>IF(F817&lt;&gt;"",1+MAX($B$21:B816),"")</f>
        <v/>
      </c>
      <c r="C817" s="68"/>
      <c r="D817" s="74" t="s">
        <v>140</v>
      </c>
      <c r="E817" s="14"/>
      <c r="F817" s="19"/>
      <c r="G817" s="48"/>
      <c r="H817" s="48">
        <f t="shared" si="268"/>
        <v>0</v>
      </c>
      <c r="I817" s="48">
        <f t="shared" si="269"/>
        <v>0</v>
      </c>
      <c r="J817" s="49"/>
      <c r="K817" s="50">
        <f t="shared" si="270"/>
        <v>0</v>
      </c>
      <c r="L817" s="50"/>
      <c r="M817" s="48"/>
      <c r="N817" s="48">
        <f t="shared" si="271"/>
        <v>0</v>
      </c>
      <c r="O817" s="48">
        <f t="shared" si="272"/>
        <v>0</v>
      </c>
      <c r="P817" s="48">
        <f t="shared" si="273"/>
        <v>0</v>
      </c>
      <c r="Q817" s="48">
        <f t="shared" si="274"/>
        <v>0</v>
      </c>
      <c r="R817" s="41">
        <f t="shared" si="275"/>
        <v>0</v>
      </c>
    </row>
    <row r="818" spans="2:19" x14ac:dyDescent="0.2">
      <c r="B818" s="61">
        <f>IF(F818&lt;&gt;"",1+MAX($B$21:B817),"")</f>
        <v>492</v>
      </c>
      <c r="C818" s="198" t="s">
        <v>633</v>
      </c>
      <c r="D818" s="73" t="s">
        <v>611</v>
      </c>
      <c r="E818" s="14" t="s">
        <v>79</v>
      </c>
      <c r="F818" s="19">
        <v>1</v>
      </c>
      <c r="G818" s="48">
        <v>450</v>
      </c>
      <c r="H818" s="48">
        <f t="shared" si="268"/>
        <v>428.4</v>
      </c>
      <c r="I818" s="48">
        <f t="shared" si="269"/>
        <v>428.4</v>
      </c>
      <c r="J818" s="49">
        <v>1.25</v>
      </c>
      <c r="K818" s="50">
        <f t="shared" si="270"/>
        <v>1.25</v>
      </c>
      <c r="L818" s="28" t="s">
        <v>1082</v>
      </c>
      <c r="M818" s="29">
        <v>61.3</v>
      </c>
      <c r="N818" s="48">
        <f t="shared" si="271"/>
        <v>44.810299999999998</v>
      </c>
      <c r="O818" s="48">
        <f t="shared" si="272"/>
        <v>56.012874999999994</v>
      </c>
      <c r="P818" s="48">
        <f t="shared" si="273"/>
        <v>56.012874999999994</v>
      </c>
      <c r="Q818" s="48">
        <f t="shared" si="274"/>
        <v>484.41287499999999</v>
      </c>
      <c r="R818" s="41">
        <f t="shared" si="275"/>
        <v>678.14813262500002</v>
      </c>
    </row>
    <row r="819" spans="2:19" x14ac:dyDescent="0.2">
      <c r="B819" s="61">
        <f>IF(F819&lt;&gt;"",1+MAX($B$21:B818),"")</f>
        <v>493</v>
      </c>
      <c r="C819" s="196"/>
      <c r="D819" s="73" t="s">
        <v>612</v>
      </c>
      <c r="E819" s="14" t="s">
        <v>79</v>
      </c>
      <c r="F819" s="19">
        <v>1</v>
      </c>
      <c r="G819" s="48">
        <v>175</v>
      </c>
      <c r="H819" s="48">
        <f t="shared" si="268"/>
        <v>166.6</v>
      </c>
      <c r="I819" s="48">
        <f t="shared" si="269"/>
        <v>166.6</v>
      </c>
      <c r="J819" s="49">
        <v>0.75</v>
      </c>
      <c r="K819" s="50">
        <f t="shared" si="270"/>
        <v>0.75</v>
      </c>
      <c r="L819" s="28" t="s">
        <v>1081</v>
      </c>
      <c r="M819" s="29">
        <v>62.3</v>
      </c>
      <c r="N819" s="48">
        <f t="shared" si="271"/>
        <v>45.5413</v>
      </c>
      <c r="O819" s="48">
        <f t="shared" si="272"/>
        <v>34.155974999999998</v>
      </c>
      <c r="P819" s="48">
        <f t="shared" si="273"/>
        <v>34.155974999999998</v>
      </c>
      <c r="Q819" s="48">
        <f t="shared" si="274"/>
        <v>200.75597499999998</v>
      </c>
      <c r="R819" s="41">
        <f t="shared" si="275"/>
        <v>281.38081632499996</v>
      </c>
    </row>
    <row r="820" spans="2:19" x14ac:dyDescent="0.2">
      <c r="B820" s="61">
        <f>IF(F820&lt;&gt;"",1+MAX($B$21:B819),"")</f>
        <v>494</v>
      </c>
      <c r="C820" s="197"/>
      <c r="D820" s="73" t="s">
        <v>613</v>
      </c>
      <c r="E820" s="14" t="s">
        <v>79</v>
      </c>
      <c r="F820" s="19">
        <v>1</v>
      </c>
      <c r="G820" s="48">
        <v>20</v>
      </c>
      <c r="H820" s="48">
        <f t="shared" si="268"/>
        <v>19.04</v>
      </c>
      <c r="I820" s="48">
        <f t="shared" si="269"/>
        <v>19.04</v>
      </c>
      <c r="J820" s="49">
        <v>0.25</v>
      </c>
      <c r="K820" s="50">
        <f t="shared" si="270"/>
        <v>0.25</v>
      </c>
      <c r="L820" s="28" t="s">
        <v>1081</v>
      </c>
      <c r="M820" s="29">
        <v>62.3</v>
      </c>
      <c r="N820" s="48">
        <f t="shared" si="271"/>
        <v>45.5413</v>
      </c>
      <c r="O820" s="48">
        <f t="shared" si="272"/>
        <v>11.385325</v>
      </c>
      <c r="P820" s="48">
        <f t="shared" si="273"/>
        <v>11.385325</v>
      </c>
      <c r="Q820" s="48">
        <f t="shared" si="274"/>
        <v>30.425325000000001</v>
      </c>
      <c r="R820" s="41">
        <f t="shared" si="275"/>
        <v>42.834314774999996</v>
      </c>
    </row>
    <row r="821" spans="2:19" ht="13.5" thickBot="1" x14ac:dyDescent="0.25">
      <c r="B821" s="61" t="str">
        <f>IF(F821&lt;&gt;"",1+MAX($B$21:B820),"")</f>
        <v/>
      </c>
      <c r="C821" s="67"/>
      <c r="D821" s="73"/>
      <c r="E821" s="14"/>
      <c r="F821" s="19"/>
      <c r="G821" s="48"/>
      <c r="H821" s="48">
        <f t="shared" si="268"/>
        <v>0</v>
      </c>
      <c r="I821" s="48">
        <f t="shared" si="269"/>
        <v>0</v>
      </c>
      <c r="J821" s="49"/>
      <c r="K821" s="50">
        <f t="shared" si="270"/>
        <v>0</v>
      </c>
      <c r="L821" s="50"/>
      <c r="M821" s="48"/>
      <c r="N821" s="48">
        <f t="shared" si="271"/>
        <v>0</v>
      </c>
      <c r="O821" s="48">
        <f t="shared" si="272"/>
        <v>0</v>
      </c>
      <c r="P821" s="48">
        <f t="shared" si="273"/>
        <v>0</v>
      </c>
      <c r="Q821" s="48">
        <f t="shared" si="274"/>
        <v>0</v>
      </c>
      <c r="R821" s="41">
        <f t="shared" si="275"/>
        <v>0</v>
      </c>
      <c r="S821" s="9"/>
    </row>
    <row r="822" spans="2:19" s="9" customFormat="1" ht="26.25" thickBot="1" x14ac:dyDescent="0.25">
      <c r="B822" s="59" t="str">
        <f>IF(F822&lt;&gt;"",1+MAX($B$21:B821),"")</f>
        <v/>
      </c>
      <c r="C822" s="65" t="s">
        <v>53</v>
      </c>
      <c r="D822" s="72" t="s">
        <v>22</v>
      </c>
      <c r="E822" s="51"/>
      <c r="F822" s="51"/>
      <c r="G822" s="51"/>
      <c r="H822" s="52" t="s">
        <v>61</v>
      </c>
      <c r="I822" s="53">
        <f>SUM(I823:I969)</f>
        <v>169109.27246080004</v>
      </c>
      <c r="J822" s="54"/>
      <c r="K822" s="55" t="str">
        <f>ROUND(SUM(K823:K969),0) &amp; " " &amp; "HRS"</f>
        <v>759 HRS</v>
      </c>
      <c r="L822" s="56"/>
      <c r="M822" s="56"/>
      <c r="N822" s="56"/>
      <c r="O822" s="52" t="s">
        <v>62</v>
      </c>
      <c r="P822" s="53">
        <f>SUM(P823:P969)</f>
        <v>34434.720939744984</v>
      </c>
      <c r="Q822" s="57">
        <f>SUM(Q823:Q969)</f>
        <v>203543.99340054498</v>
      </c>
      <c r="R822" s="58">
        <f>(Q822)+(I822*$Q$7)+(P822*$Q$8)+(Q822*$Q$9)+($Q$10*((Q822)+(I822*$Q$7)+(P822*$Q$8)+(Q822*$Q$9)))+(Q822*$Q$11)</f>
        <v>285282.5348452772</v>
      </c>
    </row>
    <row r="823" spans="2:19" x14ac:dyDescent="0.2">
      <c r="B823" s="61" t="str">
        <f>IF(F823&lt;&gt;"",1+MAX($B$21:B822),"")</f>
        <v/>
      </c>
      <c r="C823" s="67"/>
      <c r="D823" s="73"/>
      <c r="E823" s="14"/>
      <c r="F823" s="19"/>
      <c r="G823" s="48"/>
      <c r="H823" s="48">
        <f t="shared" ref="H823:H886" si="276">G823*$T$2</f>
        <v>0</v>
      </c>
      <c r="I823" s="48">
        <f t="shared" ref="I823:I886" si="277">F823*H823</f>
        <v>0</v>
      </c>
      <c r="J823" s="49"/>
      <c r="K823" s="50">
        <f t="shared" ref="K823:K886" si="278">F823*J823</f>
        <v>0</v>
      </c>
      <c r="L823" s="50"/>
      <c r="M823" s="48"/>
      <c r="N823" s="48">
        <f t="shared" ref="N823:N886" si="279">M823*$U$2</f>
        <v>0</v>
      </c>
      <c r="O823" s="48">
        <f t="shared" ref="O823:O886" si="280">J823*N823</f>
        <v>0</v>
      </c>
      <c r="P823" s="48">
        <f t="shared" ref="P823:P886" si="281">F823*O823</f>
        <v>0</v>
      </c>
      <c r="Q823" s="48">
        <f t="shared" ref="Q823:Q886" si="282">I823+P823</f>
        <v>0</v>
      </c>
      <c r="R823" s="41">
        <f t="shared" ref="R823:R886" si="283">Q823+(I823*$Q$7)+(P823*$Q$8)+(Q823*$Q$9)+(Q823*$Q$11)+($Q$10*(Q823+(I823*$Q$7)+(P823*$Q$8)+(Q823*$Q$9)))</f>
        <v>0</v>
      </c>
      <c r="S823" s="9"/>
    </row>
    <row r="824" spans="2:19" x14ac:dyDescent="0.2">
      <c r="B824" s="62" t="str">
        <f>IF(F824&lt;&gt;"",1+MAX($B$21:B823),"")</f>
        <v/>
      </c>
      <c r="C824" s="68"/>
      <c r="D824" s="74" t="s">
        <v>706</v>
      </c>
      <c r="E824" s="14"/>
      <c r="F824" s="19"/>
      <c r="G824" s="48"/>
      <c r="H824" s="48">
        <f t="shared" si="276"/>
        <v>0</v>
      </c>
      <c r="I824" s="48">
        <f t="shared" si="277"/>
        <v>0</v>
      </c>
      <c r="J824" s="49"/>
      <c r="K824" s="50">
        <f t="shared" si="278"/>
        <v>0</v>
      </c>
      <c r="L824" s="50"/>
      <c r="M824" s="48"/>
      <c r="N824" s="48">
        <f t="shared" si="279"/>
        <v>0</v>
      </c>
      <c r="O824" s="48">
        <f t="shared" si="280"/>
        <v>0</v>
      </c>
      <c r="P824" s="48">
        <f t="shared" si="281"/>
        <v>0</v>
      </c>
      <c r="Q824" s="48">
        <f t="shared" si="282"/>
        <v>0</v>
      </c>
      <c r="R824" s="41">
        <f t="shared" si="283"/>
        <v>0</v>
      </c>
    </row>
    <row r="825" spans="2:19" x14ac:dyDescent="0.2">
      <c r="B825" s="61" t="str">
        <f>IF(F825&lt;&gt;"",1+MAX($B$21:B824),"")</f>
        <v/>
      </c>
      <c r="C825" s="67"/>
      <c r="D825" s="73"/>
      <c r="E825" s="14"/>
      <c r="F825" s="19"/>
      <c r="G825" s="48"/>
      <c r="H825" s="48">
        <f t="shared" si="276"/>
        <v>0</v>
      </c>
      <c r="I825" s="48">
        <f t="shared" si="277"/>
        <v>0</v>
      </c>
      <c r="J825" s="49"/>
      <c r="K825" s="50">
        <f t="shared" si="278"/>
        <v>0</v>
      </c>
      <c r="L825" s="50"/>
      <c r="M825" s="48"/>
      <c r="N825" s="48">
        <f t="shared" si="279"/>
        <v>0</v>
      </c>
      <c r="O825" s="48">
        <f t="shared" si="280"/>
        <v>0</v>
      </c>
      <c r="P825" s="48">
        <f t="shared" si="281"/>
        <v>0</v>
      </c>
      <c r="Q825" s="48">
        <f t="shared" si="282"/>
        <v>0</v>
      </c>
      <c r="R825" s="41">
        <f t="shared" si="283"/>
        <v>0</v>
      </c>
      <c r="S825" s="9"/>
    </row>
    <row r="826" spans="2:19" x14ac:dyDescent="0.2">
      <c r="B826" s="61" t="str">
        <f>IF(F826&lt;&gt;"",1+MAX($B$21:B825),"")</f>
        <v/>
      </c>
      <c r="C826" s="198" t="s">
        <v>722</v>
      </c>
      <c r="D826" s="75" t="s">
        <v>717</v>
      </c>
      <c r="E826" s="14"/>
      <c r="F826" s="19"/>
      <c r="G826" s="48"/>
      <c r="H826" s="48">
        <f t="shared" si="276"/>
        <v>0</v>
      </c>
      <c r="I826" s="48">
        <f t="shared" si="277"/>
        <v>0</v>
      </c>
      <c r="J826" s="49"/>
      <c r="K826" s="50">
        <f t="shared" si="278"/>
        <v>0</v>
      </c>
      <c r="L826" s="50"/>
      <c r="M826" s="48"/>
      <c r="N826" s="48">
        <f t="shared" si="279"/>
        <v>0</v>
      </c>
      <c r="O826" s="48">
        <f t="shared" si="280"/>
        <v>0</v>
      </c>
      <c r="P826" s="48">
        <f t="shared" si="281"/>
        <v>0</v>
      </c>
      <c r="Q826" s="48">
        <f t="shared" si="282"/>
        <v>0</v>
      </c>
      <c r="R826" s="41">
        <f t="shared" si="283"/>
        <v>0</v>
      </c>
      <c r="S826" s="9"/>
    </row>
    <row r="827" spans="2:19" ht="114.75" x14ac:dyDescent="0.2">
      <c r="B827" s="61">
        <f>IF(F827&lt;&gt;"",1+MAX($B$21:B826),"")</f>
        <v>495</v>
      </c>
      <c r="C827" s="196"/>
      <c r="D827" s="73" t="s">
        <v>723</v>
      </c>
      <c r="E827" s="14" t="s">
        <v>79</v>
      </c>
      <c r="F827" s="19">
        <v>1</v>
      </c>
      <c r="G827" s="48">
        <v>2300</v>
      </c>
      <c r="H827" s="48">
        <f t="shared" si="276"/>
        <v>2189.6</v>
      </c>
      <c r="I827" s="48">
        <f t="shared" si="277"/>
        <v>2189.6</v>
      </c>
      <c r="J827" s="11">
        <v>6.8970000000000002</v>
      </c>
      <c r="K827" s="7">
        <f t="shared" si="278"/>
        <v>6.8970000000000002</v>
      </c>
      <c r="L827" s="28" t="s">
        <v>1085</v>
      </c>
      <c r="M827" s="29">
        <v>70.569999999999993</v>
      </c>
      <c r="N827" s="48">
        <f t="shared" si="279"/>
        <v>51.586669999999991</v>
      </c>
      <c r="O827" s="48">
        <f t="shared" si="280"/>
        <v>355.79326298999996</v>
      </c>
      <c r="P827" s="48">
        <f t="shared" si="281"/>
        <v>355.79326298999996</v>
      </c>
      <c r="Q827" s="48">
        <f t="shared" si="282"/>
        <v>2545.39326299</v>
      </c>
      <c r="R827" s="41">
        <f t="shared" si="283"/>
        <v>3565.2744262867304</v>
      </c>
      <c r="S827" s="9"/>
    </row>
    <row r="828" spans="2:19" ht="89.25" x14ac:dyDescent="0.2">
      <c r="B828" s="61">
        <f>IF(F828&lt;&gt;"",1+MAX($B$21:B827),"")</f>
        <v>496</v>
      </c>
      <c r="C828" s="196"/>
      <c r="D828" s="73" t="s">
        <v>724</v>
      </c>
      <c r="E828" s="14" t="s">
        <v>79</v>
      </c>
      <c r="F828" s="19">
        <v>4</v>
      </c>
      <c r="G828" s="48">
        <v>2250</v>
      </c>
      <c r="H828" s="48">
        <f t="shared" si="276"/>
        <v>2142</v>
      </c>
      <c r="I828" s="48">
        <f t="shared" si="277"/>
        <v>8568</v>
      </c>
      <c r="J828" s="11">
        <v>6.8970000000000002</v>
      </c>
      <c r="K828" s="7">
        <f t="shared" si="278"/>
        <v>27.588000000000001</v>
      </c>
      <c r="L828" s="28" t="s">
        <v>1085</v>
      </c>
      <c r="M828" s="29">
        <v>70.569999999999993</v>
      </c>
      <c r="N828" s="48">
        <f t="shared" si="279"/>
        <v>51.586669999999991</v>
      </c>
      <c r="O828" s="48">
        <f t="shared" si="280"/>
        <v>355.79326298999996</v>
      </c>
      <c r="P828" s="48">
        <f t="shared" si="281"/>
        <v>1423.1730519599998</v>
      </c>
      <c r="Q828" s="48">
        <f t="shared" si="282"/>
        <v>9991.1730519600005</v>
      </c>
      <c r="R828" s="41">
        <f t="shared" si="283"/>
        <v>13995.223145146922</v>
      </c>
      <c r="S828" s="9"/>
    </row>
    <row r="829" spans="2:19" x14ac:dyDescent="0.2">
      <c r="B829" s="61" t="str">
        <f>IF(F829&lt;&gt;"",1+MAX($B$21:B828),"")</f>
        <v/>
      </c>
      <c r="C829" s="196"/>
      <c r="D829" s="73"/>
      <c r="E829" s="14"/>
      <c r="F829" s="19"/>
      <c r="G829" s="48"/>
      <c r="H829" s="48">
        <f t="shared" si="276"/>
        <v>0</v>
      </c>
      <c r="I829" s="48">
        <f t="shared" si="277"/>
        <v>0</v>
      </c>
      <c r="J829" s="49"/>
      <c r="K829" s="50">
        <f t="shared" si="278"/>
        <v>0</v>
      </c>
      <c r="L829" s="50"/>
      <c r="M829" s="48"/>
      <c r="N829" s="48">
        <f t="shared" si="279"/>
        <v>0</v>
      </c>
      <c r="O829" s="48">
        <f t="shared" si="280"/>
        <v>0</v>
      </c>
      <c r="P829" s="48">
        <f t="shared" si="281"/>
        <v>0</v>
      </c>
      <c r="Q829" s="48">
        <f t="shared" si="282"/>
        <v>0</v>
      </c>
      <c r="R829" s="41">
        <f t="shared" si="283"/>
        <v>0</v>
      </c>
      <c r="S829" s="9"/>
    </row>
    <row r="830" spans="2:19" x14ac:dyDescent="0.2">
      <c r="B830" s="61" t="str">
        <f>IF(F830&lt;&gt;"",1+MAX($B$21:B829),"")</f>
        <v/>
      </c>
      <c r="C830" s="196"/>
      <c r="D830" s="75" t="s">
        <v>142</v>
      </c>
      <c r="E830" s="14"/>
      <c r="F830" s="19"/>
      <c r="G830" s="48"/>
      <c r="H830" s="48">
        <f t="shared" si="276"/>
        <v>0</v>
      </c>
      <c r="I830" s="48">
        <f t="shared" si="277"/>
        <v>0</v>
      </c>
      <c r="J830" s="49"/>
      <c r="K830" s="50">
        <f t="shared" si="278"/>
        <v>0</v>
      </c>
      <c r="L830" s="50"/>
      <c r="M830" s="48"/>
      <c r="N830" s="48">
        <f t="shared" si="279"/>
        <v>0</v>
      </c>
      <c r="O830" s="48">
        <f t="shared" si="280"/>
        <v>0</v>
      </c>
      <c r="P830" s="48">
        <f t="shared" si="281"/>
        <v>0</v>
      </c>
      <c r="Q830" s="48">
        <f t="shared" si="282"/>
        <v>0</v>
      </c>
      <c r="R830" s="41">
        <f t="shared" si="283"/>
        <v>0</v>
      </c>
      <c r="S830" s="9"/>
    </row>
    <row r="831" spans="2:19" x14ac:dyDescent="0.2">
      <c r="B831" s="61">
        <f>IF(F831&lt;&gt;"",1+MAX($B$21:B830),"")</f>
        <v>497</v>
      </c>
      <c r="C831" s="196"/>
      <c r="D831" s="73" t="s">
        <v>725</v>
      </c>
      <c r="E831" s="14" t="s">
        <v>79</v>
      </c>
      <c r="F831" s="19">
        <v>1</v>
      </c>
      <c r="G831" s="48">
        <v>650</v>
      </c>
      <c r="H831" s="48">
        <f t="shared" si="276"/>
        <v>618.79999999999995</v>
      </c>
      <c r="I831" s="48">
        <f t="shared" si="277"/>
        <v>618.79999999999995</v>
      </c>
      <c r="J831" s="49">
        <v>2</v>
      </c>
      <c r="K831" s="50">
        <f t="shared" si="278"/>
        <v>2</v>
      </c>
      <c r="L831" s="7" t="s">
        <v>1082</v>
      </c>
      <c r="M831" s="12">
        <v>61.3</v>
      </c>
      <c r="N831" s="48">
        <f t="shared" si="279"/>
        <v>44.810299999999998</v>
      </c>
      <c r="O831" s="48">
        <f t="shared" si="280"/>
        <v>89.620599999999996</v>
      </c>
      <c r="P831" s="48">
        <f t="shared" si="281"/>
        <v>89.620599999999996</v>
      </c>
      <c r="Q831" s="48">
        <f t="shared" si="282"/>
        <v>708.42059999999992</v>
      </c>
      <c r="R831" s="41">
        <f t="shared" si="283"/>
        <v>991.98091619999991</v>
      </c>
      <c r="S831" s="9"/>
    </row>
    <row r="832" spans="2:19" ht="25.5" x14ac:dyDescent="0.2">
      <c r="B832" s="61">
        <f>IF(F832&lt;&gt;"",1+MAX($B$21:B831),"")</f>
        <v>498</v>
      </c>
      <c r="C832" s="196"/>
      <c r="D832" s="73" t="s">
        <v>707</v>
      </c>
      <c r="E832" s="14" t="s">
        <v>79</v>
      </c>
      <c r="F832" s="19">
        <v>1</v>
      </c>
      <c r="G832" s="12">
        <v>45</v>
      </c>
      <c r="H832" s="12">
        <f t="shared" si="276"/>
        <v>42.839999999999996</v>
      </c>
      <c r="I832" s="12">
        <f t="shared" si="277"/>
        <v>42.839999999999996</v>
      </c>
      <c r="J832" s="11">
        <v>0.56299999999999994</v>
      </c>
      <c r="K832" s="7">
        <f t="shared" si="278"/>
        <v>0.56299999999999994</v>
      </c>
      <c r="L832" s="7" t="s">
        <v>1082</v>
      </c>
      <c r="M832" s="12">
        <v>61.3</v>
      </c>
      <c r="N832" s="48">
        <f t="shared" si="279"/>
        <v>44.810299999999998</v>
      </c>
      <c r="O832" s="48">
        <f t="shared" si="280"/>
        <v>25.228198899999995</v>
      </c>
      <c r="P832" s="48">
        <f t="shared" si="281"/>
        <v>25.228198899999995</v>
      </c>
      <c r="Q832" s="48">
        <f t="shared" si="282"/>
        <v>68.068198899999999</v>
      </c>
      <c r="R832" s="41">
        <f t="shared" si="283"/>
        <v>95.822415830299988</v>
      </c>
      <c r="S832" s="9"/>
    </row>
    <row r="833" spans="2:19" x14ac:dyDescent="0.2">
      <c r="B833" s="61">
        <f>IF(F833&lt;&gt;"",1+MAX($B$21:B832),"")</f>
        <v>499</v>
      </c>
      <c r="C833" s="196"/>
      <c r="D833" s="73" t="s">
        <v>708</v>
      </c>
      <c r="E833" s="14" t="s">
        <v>79</v>
      </c>
      <c r="F833" s="19">
        <v>1</v>
      </c>
      <c r="G833" s="31">
        <v>210</v>
      </c>
      <c r="H833" s="12">
        <f t="shared" si="276"/>
        <v>199.92</v>
      </c>
      <c r="I833" s="12">
        <f t="shared" si="277"/>
        <v>199.92</v>
      </c>
      <c r="J833" s="32">
        <v>1.3280000000000001</v>
      </c>
      <c r="K833" s="7">
        <f t="shared" si="278"/>
        <v>1.3280000000000001</v>
      </c>
      <c r="L833" s="30" t="s">
        <v>1082</v>
      </c>
      <c r="M833" s="31">
        <v>61.3</v>
      </c>
      <c r="N833" s="48">
        <f t="shared" si="279"/>
        <v>44.810299999999998</v>
      </c>
      <c r="O833" s="48">
        <f t="shared" si="280"/>
        <v>59.508078400000002</v>
      </c>
      <c r="P833" s="48">
        <f t="shared" si="281"/>
        <v>59.508078400000002</v>
      </c>
      <c r="Q833" s="48">
        <f t="shared" si="282"/>
        <v>259.4280784</v>
      </c>
      <c r="R833" s="41">
        <f t="shared" si="283"/>
        <v>364.08631587679997</v>
      </c>
      <c r="S833" s="9"/>
    </row>
    <row r="834" spans="2:19" x14ac:dyDescent="0.2">
      <c r="B834" s="61" t="str">
        <f>IF(F834&lt;&gt;"",1+MAX($B$21:B833),"")</f>
        <v/>
      </c>
      <c r="C834" s="196"/>
      <c r="D834" s="73"/>
      <c r="E834" s="14"/>
      <c r="F834" s="19"/>
      <c r="G834" s="48"/>
      <c r="H834" s="48">
        <f t="shared" si="276"/>
        <v>0</v>
      </c>
      <c r="I834" s="48">
        <f t="shared" si="277"/>
        <v>0</v>
      </c>
      <c r="J834" s="49"/>
      <c r="K834" s="50">
        <f t="shared" si="278"/>
        <v>0</v>
      </c>
      <c r="L834" s="50"/>
      <c r="M834" s="48"/>
      <c r="N834" s="48">
        <f t="shared" si="279"/>
        <v>0</v>
      </c>
      <c r="O834" s="48">
        <f t="shared" si="280"/>
        <v>0</v>
      </c>
      <c r="P834" s="48">
        <f t="shared" si="281"/>
        <v>0</v>
      </c>
      <c r="Q834" s="48">
        <f t="shared" si="282"/>
        <v>0</v>
      </c>
      <c r="R834" s="41">
        <f t="shared" si="283"/>
        <v>0</v>
      </c>
      <c r="S834" s="9"/>
    </row>
    <row r="835" spans="2:19" x14ac:dyDescent="0.2">
      <c r="B835" s="61" t="str">
        <f>IF(F835&lt;&gt;"",1+MAX($B$21:B834),"")</f>
        <v/>
      </c>
      <c r="C835" s="196"/>
      <c r="D835" s="75" t="s">
        <v>718</v>
      </c>
      <c r="E835" s="14"/>
      <c r="F835" s="19"/>
      <c r="G835" s="48"/>
      <c r="H835" s="48">
        <f t="shared" si="276"/>
        <v>0</v>
      </c>
      <c r="I835" s="48">
        <f t="shared" si="277"/>
        <v>0</v>
      </c>
      <c r="J835" s="49"/>
      <c r="K835" s="50">
        <f t="shared" si="278"/>
        <v>0</v>
      </c>
      <c r="L835" s="50"/>
      <c r="M835" s="48"/>
      <c r="N835" s="48">
        <f t="shared" si="279"/>
        <v>0</v>
      </c>
      <c r="O835" s="48">
        <f t="shared" si="280"/>
        <v>0</v>
      </c>
      <c r="P835" s="48">
        <f t="shared" si="281"/>
        <v>0</v>
      </c>
      <c r="Q835" s="48">
        <f t="shared" si="282"/>
        <v>0</v>
      </c>
      <c r="R835" s="41">
        <f t="shared" si="283"/>
        <v>0</v>
      </c>
      <c r="S835" s="9"/>
    </row>
    <row r="836" spans="2:19" x14ac:dyDescent="0.2">
      <c r="B836" s="61">
        <f>IF(F836&lt;&gt;"",1+MAX($B$21:B835),"")</f>
        <v>500</v>
      </c>
      <c r="C836" s="196"/>
      <c r="D836" s="73" t="s">
        <v>709</v>
      </c>
      <c r="E836" s="14" t="s">
        <v>79</v>
      </c>
      <c r="F836" s="19">
        <v>1</v>
      </c>
      <c r="G836" s="31">
        <v>60</v>
      </c>
      <c r="H836" s="12">
        <f t="shared" si="276"/>
        <v>57.12</v>
      </c>
      <c r="I836" s="12">
        <f t="shared" si="277"/>
        <v>57.12</v>
      </c>
      <c r="J836" s="32">
        <v>0.59899999999999998</v>
      </c>
      <c r="K836" s="7">
        <f t="shared" si="278"/>
        <v>0.59899999999999998</v>
      </c>
      <c r="L836" s="30" t="s">
        <v>1082</v>
      </c>
      <c r="M836" s="31">
        <v>61.3</v>
      </c>
      <c r="N836" s="48">
        <f t="shared" si="279"/>
        <v>44.810299999999998</v>
      </c>
      <c r="O836" s="48">
        <f t="shared" si="280"/>
        <v>26.841369699999998</v>
      </c>
      <c r="P836" s="48">
        <f t="shared" si="281"/>
        <v>26.841369699999998</v>
      </c>
      <c r="Q836" s="48">
        <f t="shared" si="282"/>
        <v>83.961369699999992</v>
      </c>
      <c r="R836" s="41">
        <f t="shared" si="283"/>
        <v>118.06500256189997</v>
      </c>
      <c r="S836" s="9"/>
    </row>
    <row r="837" spans="2:19" x14ac:dyDescent="0.2">
      <c r="B837" s="61" t="str">
        <f>IF(F837&lt;&gt;"",1+MAX($B$21:B836),"")</f>
        <v/>
      </c>
      <c r="C837" s="196"/>
      <c r="D837" s="73"/>
      <c r="E837" s="14"/>
      <c r="F837" s="19"/>
      <c r="G837" s="48"/>
      <c r="H837" s="48">
        <f t="shared" si="276"/>
        <v>0</v>
      </c>
      <c r="I837" s="48">
        <f t="shared" si="277"/>
        <v>0</v>
      </c>
      <c r="J837" s="49"/>
      <c r="K837" s="50">
        <f t="shared" si="278"/>
        <v>0</v>
      </c>
      <c r="L837" s="50"/>
      <c r="M837" s="48"/>
      <c r="N837" s="48">
        <f t="shared" si="279"/>
        <v>0</v>
      </c>
      <c r="O837" s="48">
        <f t="shared" si="280"/>
        <v>0</v>
      </c>
      <c r="P837" s="48">
        <f t="shared" si="281"/>
        <v>0</v>
      </c>
      <c r="Q837" s="48">
        <f t="shared" si="282"/>
        <v>0</v>
      </c>
      <c r="R837" s="41">
        <f t="shared" si="283"/>
        <v>0</v>
      </c>
      <c r="S837" s="9"/>
    </row>
    <row r="838" spans="2:19" x14ac:dyDescent="0.2">
      <c r="B838" s="61" t="str">
        <f>IF(F838&lt;&gt;"",1+MAX($B$21:B837),"")</f>
        <v/>
      </c>
      <c r="C838" s="196"/>
      <c r="D838" s="75" t="s">
        <v>719</v>
      </c>
      <c r="E838" s="14"/>
      <c r="F838" s="19"/>
      <c r="G838" s="48"/>
      <c r="H838" s="48">
        <f t="shared" si="276"/>
        <v>0</v>
      </c>
      <c r="I838" s="48">
        <f t="shared" si="277"/>
        <v>0</v>
      </c>
      <c r="J838" s="49"/>
      <c r="K838" s="50">
        <f t="shared" si="278"/>
        <v>0</v>
      </c>
      <c r="L838" s="50"/>
      <c r="M838" s="48"/>
      <c r="N838" s="48">
        <f t="shared" si="279"/>
        <v>0</v>
      </c>
      <c r="O838" s="48">
        <f t="shared" si="280"/>
        <v>0</v>
      </c>
      <c r="P838" s="48">
        <f t="shared" si="281"/>
        <v>0</v>
      </c>
      <c r="Q838" s="48">
        <f t="shared" si="282"/>
        <v>0</v>
      </c>
      <c r="R838" s="41">
        <f t="shared" si="283"/>
        <v>0</v>
      </c>
      <c r="S838" s="9"/>
    </row>
    <row r="839" spans="2:19" x14ac:dyDescent="0.2">
      <c r="B839" s="61">
        <f>IF(F839&lt;&gt;"",1+MAX($B$21:B838),"")</f>
        <v>501</v>
      </c>
      <c r="C839" s="196"/>
      <c r="D839" s="73" t="s">
        <v>726</v>
      </c>
      <c r="E839" s="14" t="s">
        <v>79</v>
      </c>
      <c r="F839" s="19">
        <v>1</v>
      </c>
      <c r="G839" s="12">
        <v>29500</v>
      </c>
      <c r="H839" s="12">
        <f t="shared" si="276"/>
        <v>28084</v>
      </c>
      <c r="I839" s="12">
        <f t="shared" si="277"/>
        <v>28084</v>
      </c>
      <c r="J839" s="11">
        <v>30.768999999999998</v>
      </c>
      <c r="K839" s="7">
        <f t="shared" si="278"/>
        <v>30.768999999999998</v>
      </c>
      <c r="L839" s="28" t="s">
        <v>1085</v>
      </c>
      <c r="M839" s="29">
        <v>70.569999999999993</v>
      </c>
      <c r="N839" s="48">
        <f t="shared" si="279"/>
        <v>51.586669999999991</v>
      </c>
      <c r="O839" s="48">
        <f t="shared" si="280"/>
        <v>1587.2702492299995</v>
      </c>
      <c r="P839" s="48">
        <f t="shared" si="281"/>
        <v>1587.2702492299995</v>
      </c>
      <c r="Q839" s="48">
        <f t="shared" si="282"/>
        <v>29671.270249230001</v>
      </c>
      <c r="R839" s="41">
        <f t="shared" si="283"/>
        <v>41481.532245651215</v>
      </c>
      <c r="S839" s="9"/>
    </row>
    <row r="840" spans="2:19" x14ac:dyDescent="0.2">
      <c r="B840" s="61" t="str">
        <f>IF(F840&lt;&gt;"",1+MAX($B$21:B839),"")</f>
        <v/>
      </c>
      <c r="C840" s="196"/>
      <c r="D840" s="73"/>
      <c r="E840" s="14"/>
      <c r="F840" s="19"/>
      <c r="G840" s="48"/>
      <c r="H840" s="48">
        <f t="shared" si="276"/>
        <v>0</v>
      </c>
      <c r="I840" s="48">
        <f t="shared" si="277"/>
        <v>0</v>
      </c>
      <c r="J840" s="49"/>
      <c r="K840" s="50">
        <f t="shared" si="278"/>
        <v>0</v>
      </c>
      <c r="L840" s="50"/>
      <c r="M840" s="48"/>
      <c r="N840" s="48">
        <f t="shared" si="279"/>
        <v>0</v>
      </c>
      <c r="O840" s="48">
        <f t="shared" si="280"/>
        <v>0</v>
      </c>
      <c r="P840" s="48">
        <f t="shared" si="281"/>
        <v>0</v>
      </c>
      <c r="Q840" s="48">
        <f t="shared" si="282"/>
        <v>0</v>
      </c>
      <c r="R840" s="41">
        <f t="shared" si="283"/>
        <v>0</v>
      </c>
      <c r="S840" s="9"/>
    </row>
    <row r="841" spans="2:19" x14ac:dyDescent="0.2">
      <c r="B841" s="61" t="str">
        <f>IF(F841&lt;&gt;"",1+MAX($B$21:B840),"")</f>
        <v/>
      </c>
      <c r="C841" s="196"/>
      <c r="D841" s="75" t="s">
        <v>720</v>
      </c>
      <c r="E841" s="14"/>
      <c r="F841" s="19"/>
      <c r="G841" s="48"/>
      <c r="H841" s="48">
        <f t="shared" si="276"/>
        <v>0</v>
      </c>
      <c r="I841" s="48">
        <f t="shared" si="277"/>
        <v>0</v>
      </c>
      <c r="J841" s="49"/>
      <c r="K841" s="50">
        <f t="shared" si="278"/>
        <v>0</v>
      </c>
      <c r="L841" s="50"/>
      <c r="M841" s="48"/>
      <c r="N841" s="48">
        <f t="shared" si="279"/>
        <v>0</v>
      </c>
      <c r="O841" s="48">
        <f t="shared" si="280"/>
        <v>0</v>
      </c>
      <c r="P841" s="48">
        <f t="shared" si="281"/>
        <v>0</v>
      </c>
      <c r="Q841" s="48">
        <f t="shared" si="282"/>
        <v>0</v>
      </c>
      <c r="R841" s="41">
        <f t="shared" si="283"/>
        <v>0</v>
      </c>
      <c r="S841" s="9"/>
    </row>
    <row r="842" spans="2:19" x14ac:dyDescent="0.2">
      <c r="B842" s="61">
        <f>IF(F842&lt;&gt;"",1+MAX($B$21:B841),"")</f>
        <v>502</v>
      </c>
      <c r="C842" s="196"/>
      <c r="D842" s="73" t="s">
        <v>710</v>
      </c>
      <c r="E842" s="14" t="s">
        <v>79</v>
      </c>
      <c r="F842" s="19">
        <v>1</v>
      </c>
      <c r="G842" s="31">
        <v>465</v>
      </c>
      <c r="H842" s="12">
        <f t="shared" si="276"/>
        <v>442.68</v>
      </c>
      <c r="I842" s="12">
        <f t="shared" si="277"/>
        <v>442.68</v>
      </c>
      <c r="J842" s="32">
        <v>3.625</v>
      </c>
      <c r="K842" s="7">
        <f t="shared" si="278"/>
        <v>3.625</v>
      </c>
      <c r="L842" s="30" t="s">
        <v>1082</v>
      </c>
      <c r="M842" s="31">
        <v>61.3</v>
      </c>
      <c r="N842" s="48">
        <f t="shared" si="279"/>
        <v>44.810299999999998</v>
      </c>
      <c r="O842" s="48">
        <f t="shared" si="280"/>
        <v>162.43733749999998</v>
      </c>
      <c r="P842" s="48">
        <f t="shared" si="281"/>
        <v>162.43733749999998</v>
      </c>
      <c r="Q842" s="48">
        <f t="shared" si="282"/>
        <v>605.11733749999996</v>
      </c>
      <c r="R842" s="41">
        <f t="shared" si="283"/>
        <v>849.95643261250007</v>
      </c>
      <c r="S842" s="9"/>
    </row>
    <row r="843" spans="2:19" x14ac:dyDescent="0.2">
      <c r="B843" s="61">
        <f>IF(F843&lt;&gt;"",1+MAX($B$21:B842),"")</f>
        <v>503</v>
      </c>
      <c r="C843" s="196"/>
      <c r="D843" s="73" t="s">
        <v>145</v>
      </c>
      <c r="E843" s="14" t="s">
        <v>79</v>
      </c>
      <c r="F843" s="19">
        <v>4</v>
      </c>
      <c r="G843" s="31">
        <v>78</v>
      </c>
      <c r="H843" s="12">
        <f t="shared" si="276"/>
        <v>74.256</v>
      </c>
      <c r="I843" s="12">
        <f t="shared" si="277"/>
        <v>297.024</v>
      </c>
      <c r="J843" s="32">
        <v>0.65</v>
      </c>
      <c r="K843" s="7">
        <f t="shared" si="278"/>
        <v>2.6</v>
      </c>
      <c r="L843" s="30" t="s">
        <v>1082</v>
      </c>
      <c r="M843" s="31">
        <v>61.3</v>
      </c>
      <c r="N843" s="48">
        <f t="shared" si="279"/>
        <v>44.810299999999998</v>
      </c>
      <c r="O843" s="48">
        <f t="shared" si="280"/>
        <v>29.126694999999998</v>
      </c>
      <c r="P843" s="48">
        <f t="shared" si="281"/>
        <v>116.50677999999999</v>
      </c>
      <c r="Q843" s="48">
        <f t="shared" si="282"/>
        <v>413.53077999999999</v>
      </c>
      <c r="R843" s="41">
        <f t="shared" si="283"/>
        <v>581.01948865999998</v>
      </c>
      <c r="S843" s="9"/>
    </row>
    <row r="844" spans="2:19" x14ac:dyDescent="0.2">
      <c r="B844" s="61">
        <f>IF(F844&lt;&gt;"",1+MAX($B$21:B843),"")</f>
        <v>504</v>
      </c>
      <c r="C844" s="196"/>
      <c r="D844" s="73" t="s">
        <v>711</v>
      </c>
      <c r="E844" s="14" t="s">
        <v>79</v>
      </c>
      <c r="F844" s="19">
        <v>1</v>
      </c>
      <c r="G844" s="48">
        <v>1200</v>
      </c>
      <c r="H844" s="48">
        <f t="shared" si="276"/>
        <v>1142.3999999999999</v>
      </c>
      <c r="I844" s="48">
        <f t="shared" si="277"/>
        <v>1142.3999999999999</v>
      </c>
      <c r="J844" s="49">
        <v>3</v>
      </c>
      <c r="K844" s="50">
        <f t="shared" si="278"/>
        <v>3</v>
      </c>
      <c r="L844" s="30" t="s">
        <v>1082</v>
      </c>
      <c r="M844" s="31">
        <v>61.3</v>
      </c>
      <c r="N844" s="48">
        <f t="shared" si="279"/>
        <v>44.810299999999998</v>
      </c>
      <c r="O844" s="48">
        <f t="shared" si="280"/>
        <v>134.43090000000001</v>
      </c>
      <c r="P844" s="48">
        <f t="shared" si="281"/>
        <v>134.43090000000001</v>
      </c>
      <c r="Q844" s="48">
        <f t="shared" si="282"/>
        <v>1276.8308999999999</v>
      </c>
      <c r="R844" s="41">
        <f t="shared" si="283"/>
        <v>1787.0802543</v>
      </c>
      <c r="S844" s="9"/>
    </row>
    <row r="845" spans="2:19" x14ac:dyDescent="0.2">
      <c r="B845" s="61" t="str">
        <f>IF(F845&lt;&gt;"",1+MAX($B$21:B844),"")</f>
        <v/>
      </c>
      <c r="C845" s="196"/>
      <c r="D845" s="73"/>
      <c r="E845" s="14"/>
      <c r="F845" s="19"/>
      <c r="G845" s="48"/>
      <c r="H845" s="48">
        <f t="shared" si="276"/>
        <v>0</v>
      </c>
      <c r="I845" s="48">
        <f t="shared" si="277"/>
        <v>0</v>
      </c>
      <c r="J845" s="49"/>
      <c r="K845" s="50">
        <f t="shared" si="278"/>
        <v>0</v>
      </c>
      <c r="L845" s="50"/>
      <c r="M845" s="48"/>
      <c r="N845" s="48">
        <f t="shared" si="279"/>
        <v>0</v>
      </c>
      <c r="O845" s="48">
        <f t="shared" si="280"/>
        <v>0</v>
      </c>
      <c r="P845" s="48">
        <f t="shared" si="281"/>
        <v>0</v>
      </c>
      <c r="Q845" s="48">
        <f t="shared" si="282"/>
        <v>0</v>
      </c>
      <c r="R845" s="41">
        <f t="shared" si="283"/>
        <v>0</v>
      </c>
      <c r="S845" s="9"/>
    </row>
    <row r="846" spans="2:19" x14ac:dyDescent="0.2">
      <c r="B846" s="61" t="str">
        <f>IF(F846&lt;&gt;"",1+MAX($B$21:B845),"")</f>
        <v/>
      </c>
      <c r="C846" s="196"/>
      <c r="D846" s="75" t="s">
        <v>721</v>
      </c>
      <c r="E846" s="14"/>
      <c r="F846" s="19"/>
      <c r="G846" s="48"/>
      <c r="H846" s="48">
        <f t="shared" si="276"/>
        <v>0</v>
      </c>
      <c r="I846" s="48">
        <f t="shared" ref="I846" si="284">F846*H846</f>
        <v>0</v>
      </c>
      <c r="J846" s="49"/>
      <c r="K846" s="50">
        <f t="shared" ref="K846" si="285">F846*J846</f>
        <v>0</v>
      </c>
      <c r="L846" s="50"/>
      <c r="M846" s="48"/>
      <c r="N846" s="48">
        <f t="shared" si="279"/>
        <v>0</v>
      </c>
      <c r="O846" s="48">
        <f t="shared" si="280"/>
        <v>0</v>
      </c>
      <c r="P846" s="48">
        <f t="shared" si="281"/>
        <v>0</v>
      </c>
      <c r="Q846" s="48">
        <f t="shared" si="282"/>
        <v>0</v>
      </c>
      <c r="R846" s="41">
        <f t="shared" si="283"/>
        <v>0</v>
      </c>
      <c r="S846" s="9"/>
    </row>
    <row r="847" spans="2:19" x14ac:dyDescent="0.2">
      <c r="B847" s="61">
        <f>IF(F847&lt;&gt;"",1+MAX($B$21:B846),"")</f>
        <v>505</v>
      </c>
      <c r="C847" s="196"/>
      <c r="D847" s="73" t="s">
        <v>712</v>
      </c>
      <c r="E847" s="14" t="s">
        <v>74</v>
      </c>
      <c r="F847" s="19">
        <v>101.71</v>
      </c>
      <c r="G847" s="31">
        <f>19.15*2</f>
        <v>38.299999999999997</v>
      </c>
      <c r="H847" s="12">
        <f t="shared" si="276"/>
        <v>36.461599999999997</v>
      </c>
      <c r="I847" s="12">
        <f t="shared" si="277"/>
        <v>3708.5093359999996</v>
      </c>
      <c r="J847" s="32">
        <f>0.2*2</f>
        <v>0.4</v>
      </c>
      <c r="K847" s="7">
        <f t="shared" si="278"/>
        <v>40.683999999999997</v>
      </c>
      <c r="L847" s="30" t="s">
        <v>1086</v>
      </c>
      <c r="M847" s="31">
        <v>61.3</v>
      </c>
      <c r="N847" s="48">
        <f t="shared" si="279"/>
        <v>44.810299999999998</v>
      </c>
      <c r="O847" s="48">
        <f t="shared" si="280"/>
        <v>17.924119999999998</v>
      </c>
      <c r="P847" s="48">
        <f t="shared" si="281"/>
        <v>1823.0622451999998</v>
      </c>
      <c r="Q847" s="48">
        <f t="shared" si="282"/>
        <v>5531.5715811999999</v>
      </c>
      <c r="R847" s="41">
        <f t="shared" si="283"/>
        <v>7780.0722606907993</v>
      </c>
      <c r="S847" s="9"/>
    </row>
    <row r="848" spans="2:19" x14ac:dyDescent="0.2">
      <c r="B848" s="61">
        <f>IF(F848&lt;&gt;"",1+MAX($B$21:B847),"")</f>
        <v>506</v>
      </c>
      <c r="C848" s="196"/>
      <c r="D848" s="73" t="s">
        <v>713</v>
      </c>
      <c r="E848" s="14" t="s">
        <v>74</v>
      </c>
      <c r="F848" s="19">
        <f>5+15</f>
        <v>20</v>
      </c>
      <c r="G848" s="31">
        <v>3.11</v>
      </c>
      <c r="H848" s="12">
        <f t="shared" si="276"/>
        <v>2.9607199999999998</v>
      </c>
      <c r="I848" s="12">
        <f t="shared" si="277"/>
        <v>59.214399999999998</v>
      </c>
      <c r="J848" s="32">
        <v>7.0000000000000007E-2</v>
      </c>
      <c r="K848" s="7">
        <f t="shared" si="278"/>
        <v>1.4000000000000001</v>
      </c>
      <c r="L848" s="30" t="s">
        <v>1082</v>
      </c>
      <c r="M848" s="31">
        <v>61.3</v>
      </c>
      <c r="N848" s="48">
        <f t="shared" si="279"/>
        <v>44.810299999999998</v>
      </c>
      <c r="O848" s="48">
        <f t="shared" si="280"/>
        <v>3.1367210000000001</v>
      </c>
      <c r="P848" s="48">
        <f t="shared" si="281"/>
        <v>62.73442</v>
      </c>
      <c r="Q848" s="48">
        <f t="shared" si="282"/>
        <v>121.94882</v>
      </c>
      <c r="R848" s="41">
        <f t="shared" si="283"/>
        <v>172.20900549999999</v>
      </c>
      <c r="S848" s="9"/>
    </row>
    <row r="849" spans="2:19" x14ac:dyDescent="0.2">
      <c r="B849" s="61">
        <f>IF(F849&lt;&gt;"",1+MAX($B$21:B848),"")</f>
        <v>507</v>
      </c>
      <c r="C849" s="196"/>
      <c r="D849" s="73" t="s">
        <v>714</v>
      </c>
      <c r="E849" s="14" t="s">
        <v>74</v>
      </c>
      <c r="F849" s="19">
        <v>107.37</v>
      </c>
      <c r="G849" s="31">
        <f>7*2</f>
        <v>14</v>
      </c>
      <c r="H849" s="12">
        <f t="shared" si="276"/>
        <v>13.327999999999999</v>
      </c>
      <c r="I849" s="12">
        <f t="shared" si="277"/>
        <v>1431.02736</v>
      </c>
      <c r="J849" s="32">
        <f>0.1*2</f>
        <v>0.2</v>
      </c>
      <c r="K849" s="7">
        <f t="shared" si="278"/>
        <v>21.474000000000004</v>
      </c>
      <c r="L849" s="30" t="s">
        <v>1082</v>
      </c>
      <c r="M849" s="31">
        <v>61.3</v>
      </c>
      <c r="N849" s="48">
        <f t="shared" si="279"/>
        <v>44.810299999999998</v>
      </c>
      <c r="O849" s="48">
        <f t="shared" si="280"/>
        <v>8.9620599999999992</v>
      </c>
      <c r="P849" s="48">
        <f t="shared" si="281"/>
        <v>962.25638219999996</v>
      </c>
      <c r="Q849" s="48">
        <f t="shared" si="282"/>
        <v>2393.2837422000002</v>
      </c>
      <c r="R849" s="41">
        <f t="shared" si="283"/>
        <v>3371.4264629034005</v>
      </c>
      <c r="S849" s="9"/>
    </row>
    <row r="850" spans="2:19" x14ac:dyDescent="0.2">
      <c r="B850" s="61">
        <f>IF(F850&lt;&gt;"",1+MAX($B$21:B849),"")</f>
        <v>508</v>
      </c>
      <c r="C850" s="196"/>
      <c r="D850" s="73" t="s">
        <v>715</v>
      </c>
      <c r="E850" s="14" t="s">
        <v>74</v>
      </c>
      <c r="F850" s="19">
        <v>11.39</v>
      </c>
      <c r="G850" s="48">
        <f>20.2*2</f>
        <v>40.4</v>
      </c>
      <c r="H850" s="48">
        <f t="shared" si="276"/>
        <v>38.460799999999999</v>
      </c>
      <c r="I850" s="48">
        <f t="shared" si="277"/>
        <v>438.068512</v>
      </c>
      <c r="J850" s="49">
        <f>0.222*2</f>
        <v>0.44400000000000001</v>
      </c>
      <c r="K850" s="50">
        <f t="shared" si="278"/>
        <v>5.0571600000000005</v>
      </c>
      <c r="L850" s="30" t="s">
        <v>1086</v>
      </c>
      <c r="M850" s="31">
        <v>61.3</v>
      </c>
      <c r="N850" s="48">
        <f t="shared" si="279"/>
        <v>44.810299999999998</v>
      </c>
      <c r="O850" s="48">
        <f t="shared" si="280"/>
        <v>19.895773200000001</v>
      </c>
      <c r="P850" s="48">
        <f t="shared" si="281"/>
        <v>226.61285674800001</v>
      </c>
      <c r="Q850" s="48">
        <f t="shared" si="282"/>
        <v>664.68136874800007</v>
      </c>
      <c r="R850" s="41">
        <f t="shared" si="283"/>
        <v>935.09541673619606</v>
      </c>
      <c r="S850" s="9"/>
    </row>
    <row r="851" spans="2:19" x14ac:dyDescent="0.2">
      <c r="B851" s="61" t="str">
        <f>IF(F851&lt;&gt;"",1+MAX($B$21:B850),"")</f>
        <v/>
      </c>
      <c r="C851" s="196"/>
      <c r="D851" s="73"/>
      <c r="E851" s="14"/>
      <c r="F851" s="19"/>
      <c r="G851" s="48"/>
      <c r="H851" s="48">
        <f t="shared" si="276"/>
        <v>0</v>
      </c>
      <c r="I851" s="48">
        <f t="shared" si="277"/>
        <v>0</v>
      </c>
      <c r="J851" s="49"/>
      <c r="K851" s="50">
        <f t="shared" si="278"/>
        <v>0</v>
      </c>
      <c r="L851" s="50"/>
      <c r="M851" s="48"/>
      <c r="N851" s="48">
        <f t="shared" si="279"/>
        <v>0</v>
      </c>
      <c r="O851" s="48">
        <f t="shared" si="280"/>
        <v>0</v>
      </c>
      <c r="P851" s="48">
        <f t="shared" si="281"/>
        <v>0</v>
      </c>
      <c r="Q851" s="48">
        <f t="shared" si="282"/>
        <v>0</v>
      </c>
      <c r="R851" s="41">
        <f t="shared" si="283"/>
        <v>0</v>
      </c>
      <c r="S851" s="9"/>
    </row>
    <row r="852" spans="2:19" x14ac:dyDescent="0.2">
      <c r="B852" s="61" t="str">
        <f>IF(F852&lt;&gt;"",1+MAX($B$21:B851),"")</f>
        <v/>
      </c>
      <c r="C852" s="196"/>
      <c r="D852" s="75" t="s">
        <v>140</v>
      </c>
      <c r="E852" s="14"/>
      <c r="F852" s="19"/>
      <c r="G852" s="48"/>
      <c r="H852" s="48">
        <f t="shared" si="276"/>
        <v>0</v>
      </c>
      <c r="I852" s="48">
        <f t="shared" si="277"/>
        <v>0</v>
      </c>
      <c r="J852" s="49"/>
      <c r="K852" s="50">
        <f t="shared" si="278"/>
        <v>0</v>
      </c>
      <c r="L852" s="50"/>
      <c r="M852" s="48"/>
      <c r="N852" s="48">
        <f t="shared" si="279"/>
        <v>0</v>
      </c>
      <c r="O852" s="48">
        <f t="shared" si="280"/>
        <v>0</v>
      </c>
      <c r="P852" s="48">
        <f t="shared" si="281"/>
        <v>0</v>
      </c>
      <c r="Q852" s="48">
        <f t="shared" si="282"/>
        <v>0</v>
      </c>
      <c r="R852" s="41">
        <f t="shared" si="283"/>
        <v>0</v>
      </c>
      <c r="S852" s="9"/>
    </row>
    <row r="853" spans="2:19" ht="25.5" x14ac:dyDescent="0.2">
      <c r="B853" s="61">
        <f>IF(F853&lt;&gt;"",1+MAX($B$21:B852),"")</f>
        <v>509</v>
      </c>
      <c r="C853" s="197"/>
      <c r="D853" s="73" t="s">
        <v>716</v>
      </c>
      <c r="E853" s="14" t="s">
        <v>79</v>
      </c>
      <c r="F853" s="19">
        <v>1</v>
      </c>
      <c r="G853" s="205"/>
      <c r="H853" s="205">
        <f t="shared" si="276"/>
        <v>0</v>
      </c>
      <c r="I853" s="205">
        <f t="shared" si="277"/>
        <v>0</v>
      </c>
      <c r="J853" s="206"/>
      <c r="K853" s="207">
        <f t="shared" si="278"/>
        <v>0</v>
      </c>
      <c r="L853" s="207"/>
      <c r="M853" s="205"/>
      <c r="N853" s="205">
        <f t="shared" si="279"/>
        <v>0</v>
      </c>
      <c r="O853" s="205">
        <f t="shared" si="280"/>
        <v>0</v>
      </c>
      <c r="P853" s="205">
        <f t="shared" si="281"/>
        <v>0</v>
      </c>
      <c r="Q853" s="205">
        <f t="shared" si="282"/>
        <v>0</v>
      </c>
      <c r="R853" s="112">
        <f t="shared" si="283"/>
        <v>0</v>
      </c>
      <c r="S853" s="9"/>
    </row>
    <row r="854" spans="2:19" x14ac:dyDescent="0.2">
      <c r="B854" s="61" t="str">
        <f>IF(F854&lt;&gt;"",1+MAX($B$21:B853),"")</f>
        <v/>
      </c>
      <c r="C854" s="67"/>
      <c r="D854" s="73"/>
      <c r="E854" s="14"/>
      <c r="F854" s="19"/>
      <c r="G854" s="48"/>
      <c r="H854" s="48">
        <f t="shared" si="276"/>
        <v>0</v>
      </c>
      <c r="I854" s="48">
        <f t="shared" si="277"/>
        <v>0</v>
      </c>
      <c r="J854" s="49"/>
      <c r="K854" s="50">
        <f t="shared" si="278"/>
        <v>0</v>
      </c>
      <c r="L854" s="50"/>
      <c r="M854" s="48"/>
      <c r="N854" s="48">
        <f t="shared" si="279"/>
        <v>0</v>
      </c>
      <c r="O854" s="48">
        <f t="shared" si="280"/>
        <v>0</v>
      </c>
      <c r="P854" s="48">
        <f t="shared" si="281"/>
        <v>0</v>
      </c>
      <c r="Q854" s="48">
        <f t="shared" si="282"/>
        <v>0</v>
      </c>
      <c r="R854" s="41">
        <f t="shared" si="283"/>
        <v>0</v>
      </c>
      <c r="S854" s="9"/>
    </row>
    <row r="855" spans="2:19" x14ac:dyDescent="0.2">
      <c r="B855" s="62" t="str">
        <f>IF(F855&lt;&gt;"",1+MAX($B$21:B854),"")</f>
        <v/>
      </c>
      <c r="C855" s="68"/>
      <c r="D855" s="74" t="s">
        <v>135</v>
      </c>
      <c r="E855" s="14"/>
      <c r="F855" s="19"/>
      <c r="G855" s="48"/>
      <c r="H855" s="48">
        <f t="shared" si="276"/>
        <v>0</v>
      </c>
      <c r="I855" s="48">
        <f t="shared" si="277"/>
        <v>0</v>
      </c>
      <c r="J855" s="49"/>
      <c r="K855" s="50">
        <f t="shared" si="278"/>
        <v>0</v>
      </c>
      <c r="L855" s="50"/>
      <c r="M855" s="48"/>
      <c r="N855" s="48">
        <f t="shared" si="279"/>
        <v>0</v>
      </c>
      <c r="O855" s="48">
        <f t="shared" si="280"/>
        <v>0</v>
      </c>
      <c r="P855" s="48">
        <f t="shared" si="281"/>
        <v>0</v>
      </c>
      <c r="Q855" s="48">
        <f t="shared" si="282"/>
        <v>0</v>
      </c>
      <c r="R855" s="41">
        <f t="shared" si="283"/>
        <v>0</v>
      </c>
    </row>
    <row r="856" spans="2:19" ht="25.5" x14ac:dyDescent="0.2">
      <c r="B856" s="61">
        <f>IF(F856&lt;&gt;"",1+MAX($B$21:B855),"")</f>
        <v>510</v>
      </c>
      <c r="C856" s="67"/>
      <c r="D856" s="73" t="s">
        <v>849</v>
      </c>
      <c r="E856" s="14" t="s">
        <v>60</v>
      </c>
      <c r="F856" s="19">
        <v>1</v>
      </c>
      <c r="G856" s="12">
        <v>15570</v>
      </c>
      <c r="H856" s="12">
        <f t="shared" si="276"/>
        <v>14822.64</v>
      </c>
      <c r="I856" s="12">
        <f t="shared" si="277"/>
        <v>14822.64</v>
      </c>
      <c r="J856" s="11">
        <v>173</v>
      </c>
      <c r="K856" s="7">
        <f t="shared" si="278"/>
        <v>173</v>
      </c>
      <c r="L856" s="28" t="s">
        <v>1086</v>
      </c>
      <c r="M856" s="29">
        <v>61.3</v>
      </c>
      <c r="N856" s="48">
        <f t="shared" si="279"/>
        <v>44.810299999999998</v>
      </c>
      <c r="O856" s="48">
        <f t="shared" si="280"/>
        <v>7752.1818999999996</v>
      </c>
      <c r="P856" s="48">
        <f t="shared" si="281"/>
        <v>7752.1818999999996</v>
      </c>
      <c r="Q856" s="48">
        <f t="shared" si="282"/>
        <v>22574.821899999999</v>
      </c>
      <c r="R856" s="41">
        <f t="shared" si="283"/>
        <v>31760.6980673</v>
      </c>
    </row>
    <row r="857" spans="2:19" x14ac:dyDescent="0.2">
      <c r="B857" s="61" t="str">
        <f>IF(F857&lt;&gt;"",1+MAX($B$21:B856),"")</f>
        <v/>
      </c>
      <c r="C857" s="67"/>
      <c r="D857" s="73"/>
      <c r="E857" s="14"/>
      <c r="F857" s="19"/>
      <c r="G857" s="48"/>
      <c r="H857" s="48">
        <f t="shared" si="276"/>
        <v>0</v>
      </c>
      <c r="I857" s="48">
        <f t="shared" si="277"/>
        <v>0</v>
      </c>
      <c r="J857" s="49"/>
      <c r="K857" s="50">
        <f t="shared" si="278"/>
        <v>0</v>
      </c>
      <c r="L857" s="50"/>
      <c r="M857" s="48"/>
      <c r="N857" s="48">
        <f t="shared" si="279"/>
        <v>0</v>
      </c>
      <c r="O857" s="48">
        <f t="shared" si="280"/>
        <v>0</v>
      </c>
      <c r="P857" s="48">
        <f t="shared" si="281"/>
        <v>0</v>
      </c>
      <c r="Q857" s="48">
        <f t="shared" si="282"/>
        <v>0</v>
      </c>
      <c r="R857" s="41">
        <f t="shared" si="283"/>
        <v>0</v>
      </c>
    </row>
    <row r="858" spans="2:19" x14ac:dyDescent="0.2">
      <c r="B858" s="62" t="str">
        <f>IF(F858&lt;&gt;"",1+MAX($B$21:B857),"")</f>
        <v/>
      </c>
      <c r="C858" s="68"/>
      <c r="D858" s="74" t="s">
        <v>110</v>
      </c>
      <c r="E858" s="14"/>
      <c r="F858" s="19"/>
      <c r="G858" s="48"/>
      <c r="H858" s="48">
        <f t="shared" si="276"/>
        <v>0</v>
      </c>
      <c r="I858" s="48">
        <f t="shared" si="277"/>
        <v>0</v>
      </c>
      <c r="J858" s="49"/>
      <c r="K858" s="50">
        <f t="shared" si="278"/>
        <v>0</v>
      </c>
      <c r="L858" s="50"/>
      <c r="M858" s="48"/>
      <c r="N858" s="48">
        <f t="shared" si="279"/>
        <v>0</v>
      </c>
      <c r="O858" s="48">
        <f t="shared" si="280"/>
        <v>0</v>
      </c>
      <c r="P858" s="48">
        <f t="shared" si="281"/>
        <v>0</v>
      </c>
      <c r="Q858" s="48">
        <f t="shared" si="282"/>
        <v>0</v>
      </c>
      <c r="R858" s="41">
        <f t="shared" si="283"/>
        <v>0</v>
      </c>
    </row>
    <row r="859" spans="2:19" ht="114.75" x14ac:dyDescent="0.2">
      <c r="B859" s="61">
        <f>IF(F859&lt;&gt;"",1+MAX($B$21:B858),"")</f>
        <v>511</v>
      </c>
      <c r="C859" s="195" t="s">
        <v>859</v>
      </c>
      <c r="D859" s="73" t="s">
        <v>789</v>
      </c>
      <c r="E859" s="14" t="s">
        <v>79</v>
      </c>
      <c r="F859" s="19">
        <v>8</v>
      </c>
      <c r="G859" s="48">
        <v>261.95</v>
      </c>
      <c r="H859" s="48">
        <f t="shared" si="276"/>
        <v>249.37639999999999</v>
      </c>
      <c r="I859" s="48">
        <f t="shared" si="277"/>
        <v>1995.0111999999999</v>
      </c>
      <c r="J859" s="49">
        <v>1</v>
      </c>
      <c r="K859" s="50">
        <f t="shared" si="278"/>
        <v>8</v>
      </c>
      <c r="L859" s="30" t="s">
        <v>1082</v>
      </c>
      <c r="M859" s="31">
        <v>61.3</v>
      </c>
      <c r="N859" s="48">
        <f t="shared" si="279"/>
        <v>44.810299999999998</v>
      </c>
      <c r="O859" s="48">
        <f t="shared" si="280"/>
        <v>44.810299999999998</v>
      </c>
      <c r="P859" s="48">
        <f t="shared" si="281"/>
        <v>358.48239999999998</v>
      </c>
      <c r="Q859" s="48">
        <f t="shared" si="282"/>
        <v>2353.4935999999998</v>
      </c>
      <c r="R859" s="41">
        <f t="shared" si="283"/>
        <v>3297.3880244799993</v>
      </c>
    </row>
    <row r="860" spans="2:19" ht="114.75" x14ac:dyDescent="0.2">
      <c r="B860" s="61">
        <f>IF(F860&lt;&gt;"",1+MAX($B$21:B859),"")</f>
        <v>512</v>
      </c>
      <c r="C860" s="195"/>
      <c r="D860" s="73" t="s">
        <v>788</v>
      </c>
      <c r="E860" s="14" t="s">
        <v>79</v>
      </c>
      <c r="F860" s="19">
        <v>6</v>
      </c>
      <c r="G860" s="48">
        <f>G859+50</f>
        <v>311.95</v>
      </c>
      <c r="H860" s="48">
        <f t="shared" si="276"/>
        <v>296.97639999999996</v>
      </c>
      <c r="I860" s="48">
        <f t="shared" si="277"/>
        <v>1781.8583999999996</v>
      </c>
      <c r="J860" s="49">
        <v>1</v>
      </c>
      <c r="K860" s="50">
        <f t="shared" ref="K860:K881" si="286">F860*J860</f>
        <v>6</v>
      </c>
      <c r="L860" s="30" t="s">
        <v>1082</v>
      </c>
      <c r="M860" s="31">
        <v>61.3</v>
      </c>
      <c r="N860" s="48">
        <f t="shared" si="279"/>
        <v>44.810299999999998</v>
      </c>
      <c r="O860" s="48">
        <f t="shared" si="280"/>
        <v>44.810299999999998</v>
      </c>
      <c r="P860" s="48">
        <f t="shared" si="281"/>
        <v>268.86180000000002</v>
      </c>
      <c r="Q860" s="48">
        <f t="shared" si="282"/>
        <v>2050.7201999999997</v>
      </c>
      <c r="R860" s="41">
        <f t="shared" si="283"/>
        <v>2871.8528583599991</v>
      </c>
    </row>
    <row r="861" spans="2:19" ht="89.25" x14ac:dyDescent="0.2">
      <c r="B861" s="61">
        <f>IF(F861&lt;&gt;"",1+MAX($B$21:B860),"")</f>
        <v>513</v>
      </c>
      <c r="C861" s="195"/>
      <c r="D861" s="73" t="s">
        <v>790</v>
      </c>
      <c r="E861" s="14" t="s">
        <v>79</v>
      </c>
      <c r="F861" s="19">
        <v>3</v>
      </c>
      <c r="G861" s="48">
        <v>1100</v>
      </c>
      <c r="H861" s="48">
        <f t="shared" si="276"/>
        <v>1047.2</v>
      </c>
      <c r="I861" s="48">
        <f t="shared" si="277"/>
        <v>3141.6000000000004</v>
      </c>
      <c r="J861" s="49">
        <v>1.25</v>
      </c>
      <c r="K861" s="50">
        <f t="shared" si="286"/>
        <v>3.75</v>
      </c>
      <c r="L861" s="30" t="s">
        <v>1082</v>
      </c>
      <c r="M861" s="31">
        <v>61.3</v>
      </c>
      <c r="N861" s="48">
        <f t="shared" si="279"/>
        <v>44.810299999999998</v>
      </c>
      <c r="O861" s="48">
        <f t="shared" si="280"/>
        <v>56.012874999999994</v>
      </c>
      <c r="P861" s="48">
        <f t="shared" si="281"/>
        <v>168.03862499999997</v>
      </c>
      <c r="Q861" s="48">
        <f t="shared" si="282"/>
        <v>3309.6386250000005</v>
      </c>
      <c r="R861" s="41">
        <f t="shared" si="283"/>
        <v>4626.7213578750006</v>
      </c>
    </row>
    <row r="862" spans="2:19" ht="89.25" x14ac:dyDescent="0.2">
      <c r="B862" s="61">
        <f>IF(F862&lt;&gt;"",1+MAX($B$21:B861),"")</f>
        <v>514</v>
      </c>
      <c r="C862" s="195"/>
      <c r="D862" s="73" t="s">
        <v>791</v>
      </c>
      <c r="E862" s="14" t="s">
        <v>79</v>
      </c>
      <c r="F862" s="19">
        <v>53</v>
      </c>
      <c r="G862" s="48">
        <v>850</v>
      </c>
      <c r="H862" s="48">
        <f t="shared" si="276"/>
        <v>809.19999999999993</v>
      </c>
      <c r="I862" s="48">
        <f t="shared" si="277"/>
        <v>42887.6</v>
      </c>
      <c r="J862" s="49">
        <v>1.25</v>
      </c>
      <c r="K862" s="50">
        <f t="shared" si="286"/>
        <v>66.25</v>
      </c>
      <c r="L862" s="30" t="s">
        <v>1082</v>
      </c>
      <c r="M862" s="31">
        <v>61.3</v>
      </c>
      <c r="N862" s="48">
        <f t="shared" si="279"/>
        <v>44.810299999999998</v>
      </c>
      <c r="O862" s="48">
        <f t="shared" si="280"/>
        <v>56.012874999999994</v>
      </c>
      <c r="P862" s="48">
        <f t="shared" si="281"/>
        <v>2968.6823749999999</v>
      </c>
      <c r="Q862" s="48">
        <f t="shared" si="282"/>
        <v>45856.282374999995</v>
      </c>
      <c r="R862" s="41">
        <f t="shared" si="283"/>
        <v>64124.554389124991</v>
      </c>
    </row>
    <row r="863" spans="2:19" ht="89.25" x14ac:dyDescent="0.2">
      <c r="B863" s="61">
        <f>IF(F863&lt;&gt;"",1+MAX($B$21:B862),"")</f>
        <v>515</v>
      </c>
      <c r="C863" s="195"/>
      <c r="D863" s="73" t="s">
        <v>792</v>
      </c>
      <c r="E863" s="14" t="s">
        <v>79</v>
      </c>
      <c r="F863" s="19">
        <v>1</v>
      </c>
      <c r="G863" s="48">
        <v>2250</v>
      </c>
      <c r="H863" s="48">
        <f t="shared" si="276"/>
        <v>2142</v>
      </c>
      <c r="I863" s="48">
        <f t="shared" si="277"/>
        <v>2142</v>
      </c>
      <c r="J863" s="49">
        <v>1.25</v>
      </c>
      <c r="K863" s="50">
        <f t="shared" si="286"/>
        <v>1.25</v>
      </c>
      <c r="L863" s="30" t="s">
        <v>1082</v>
      </c>
      <c r="M863" s="31">
        <v>61.3</v>
      </c>
      <c r="N863" s="48">
        <f t="shared" si="279"/>
        <v>44.810299999999998</v>
      </c>
      <c r="O863" s="48">
        <f t="shared" si="280"/>
        <v>56.012874999999994</v>
      </c>
      <c r="P863" s="48">
        <f t="shared" si="281"/>
        <v>56.012874999999994</v>
      </c>
      <c r="Q863" s="48">
        <f t="shared" si="282"/>
        <v>2198.0128749999999</v>
      </c>
      <c r="R863" s="41">
        <f t="shared" si="283"/>
        <v>3071.0191726250005</v>
      </c>
    </row>
    <row r="864" spans="2:19" ht="102" x14ac:dyDescent="0.2">
      <c r="B864" s="61">
        <f>IF(F864&lt;&gt;"",1+MAX($B$21:B863),"")</f>
        <v>516</v>
      </c>
      <c r="C864" s="195"/>
      <c r="D864" s="73" t="s">
        <v>793</v>
      </c>
      <c r="E864" s="14" t="s">
        <v>79</v>
      </c>
      <c r="F864" s="19">
        <v>2</v>
      </c>
      <c r="G864" s="48">
        <v>550</v>
      </c>
      <c r="H864" s="48">
        <f t="shared" si="276"/>
        <v>523.6</v>
      </c>
      <c r="I864" s="48">
        <f t="shared" si="277"/>
        <v>1047.2</v>
      </c>
      <c r="J864" s="49">
        <v>1</v>
      </c>
      <c r="K864" s="50">
        <f t="shared" si="286"/>
        <v>2</v>
      </c>
      <c r="L864" s="30" t="s">
        <v>1082</v>
      </c>
      <c r="M864" s="31">
        <v>61.3</v>
      </c>
      <c r="N864" s="48">
        <f t="shared" si="279"/>
        <v>44.810299999999998</v>
      </c>
      <c r="O864" s="48">
        <f t="shared" si="280"/>
        <v>44.810299999999998</v>
      </c>
      <c r="P864" s="48">
        <f t="shared" si="281"/>
        <v>89.620599999999996</v>
      </c>
      <c r="Q864" s="48">
        <f t="shared" si="282"/>
        <v>1136.8206</v>
      </c>
      <c r="R864" s="41">
        <f t="shared" si="283"/>
        <v>1590.1986762000001</v>
      </c>
    </row>
    <row r="865" spans="2:18" ht="102" x14ac:dyDescent="0.2">
      <c r="B865" s="61">
        <f>IF(F865&lt;&gt;"",1+MAX($B$21:B864),"")</f>
        <v>517</v>
      </c>
      <c r="C865" s="195"/>
      <c r="D865" s="73" t="s">
        <v>794</v>
      </c>
      <c r="E865" s="14" t="s">
        <v>74</v>
      </c>
      <c r="F865" s="19">
        <v>26.78</v>
      </c>
      <c r="G865" s="48">
        <v>18.5</v>
      </c>
      <c r="H865" s="48">
        <f t="shared" si="276"/>
        <v>17.611999999999998</v>
      </c>
      <c r="I865" s="48">
        <f t="shared" si="277"/>
        <v>471.64936</v>
      </c>
      <c r="J865" s="49">
        <v>6.9000000000000006E-2</v>
      </c>
      <c r="K865" s="50">
        <f t="shared" si="286"/>
        <v>1.8478200000000002</v>
      </c>
      <c r="L865" s="30" t="s">
        <v>1082</v>
      </c>
      <c r="M865" s="31">
        <v>61.3</v>
      </c>
      <c r="N865" s="48">
        <f t="shared" si="279"/>
        <v>44.810299999999998</v>
      </c>
      <c r="O865" s="48">
        <f t="shared" si="280"/>
        <v>3.0919107000000001</v>
      </c>
      <c r="P865" s="48">
        <f t="shared" si="281"/>
        <v>82.801368546000006</v>
      </c>
      <c r="Q865" s="48">
        <f t="shared" si="282"/>
        <v>554.45072854600005</v>
      </c>
      <c r="R865" s="41">
        <f t="shared" si="283"/>
        <v>776.7687192191421</v>
      </c>
    </row>
    <row r="866" spans="2:18" ht="102" x14ac:dyDescent="0.2">
      <c r="B866" s="61">
        <f>IF(F866&lt;&gt;"",1+MAX($B$21:B865),"")</f>
        <v>518</v>
      </c>
      <c r="C866" s="195"/>
      <c r="D866" s="73" t="s">
        <v>795</v>
      </c>
      <c r="E866" s="14" t="s">
        <v>79</v>
      </c>
      <c r="F866" s="19">
        <v>22</v>
      </c>
      <c r="G866" s="48">
        <v>218</v>
      </c>
      <c r="H866" s="48">
        <f t="shared" si="276"/>
        <v>207.536</v>
      </c>
      <c r="I866" s="48">
        <f t="shared" si="277"/>
        <v>4565.7920000000004</v>
      </c>
      <c r="J866" s="49">
        <v>1</v>
      </c>
      <c r="K866" s="50">
        <f t="shared" si="286"/>
        <v>22</v>
      </c>
      <c r="L866" s="30" t="s">
        <v>1082</v>
      </c>
      <c r="M866" s="31">
        <v>61.3</v>
      </c>
      <c r="N866" s="48">
        <f t="shared" si="279"/>
        <v>44.810299999999998</v>
      </c>
      <c r="O866" s="48">
        <f t="shared" si="280"/>
        <v>44.810299999999998</v>
      </c>
      <c r="P866" s="48">
        <f t="shared" si="281"/>
        <v>985.82659999999998</v>
      </c>
      <c r="Q866" s="48">
        <f t="shared" si="282"/>
        <v>5551.6186000000007</v>
      </c>
      <c r="R866" s="41">
        <f t="shared" si="283"/>
        <v>7782.4465070000015</v>
      </c>
    </row>
    <row r="867" spans="2:18" ht="102" x14ac:dyDescent="0.2">
      <c r="B867" s="61">
        <f>IF(F867&lt;&gt;"",1+MAX($B$21:B866),"")</f>
        <v>519</v>
      </c>
      <c r="C867" s="195"/>
      <c r="D867" s="73" t="s">
        <v>796</v>
      </c>
      <c r="E867" s="14" t="s">
        <v>79</v>
      </c>
      <c r="F867" s="19">
        <v>2</v>
      </c>
      <c r="G867" s="48">
        <f>G866+20</f>
        <v>238</v>
      </c>
      <c r="H867" s="48">
        <f t="shared" si="276"/>
        <v>226.57599999999999</v>
      </c>
      <c r="I867" s="48">
        <f t="shared" si="277"/>
        <v>453.15199999999999</v>
      </c>
      <c r="J867" s="49">
        <v>1</v>
      </c>
      <c r="K867" s="50">
        <f t="shared" si="286"/>
        <v>2</v>
      </c>
      <c r="L867" s="30" t="s">
        <v>1082</v>
      </c>
      <c r="M867" s="31">
        <v>61.3</v>
      </c>
      <c r="N867" s="48">
        <f t="shared" si="279"/>
        <v>44.810299999999998</v>
      </c>
      <c r="O867" s="48">
        <f t="shared" si="280"/>
        <v>44.810299999999998</v>
      </c>
      <c r="P867" s="48">
        <f t="shared" si="281"/>
        <v>89.620599999999996</v>
      </c>
      <c r="Q867" s="48">
        <f t="shared" si="282"/>
        <v>542.77260000000001</v>
      </c>
      <c r="R867" s="41">
        <f t="shared" si="283"/>
        <v>760.67004899999995</v>
      </c>
    </row>
    <row r="868" spans="2:18" ht="89.25" x14ac:dyDescent="0.2">
      <c r="B868" s="61">
        <f>IF(F868&lt;&gt;"",1+MAX($B$21:B867),"")</f>
        <v>520</v>
      </c>
      <c r="C868" s="195"/>
      <c r="D868" s="73" t="s">
        <v>797</v>
      </c>
      <c r="E868" s="14" t="s">
        <v>79</v>
      </c>
      <c r="F868" s="19">
        <v>9</v>
      </c>
      <c r="G868" s="48">
        <v>99.99</v>
      </c>
      <c r="H868" s="48">
        <f t="shared" si="276"/>
        <v>95.190479999999994</v>
      </c>
      <c r="I868" s="48">
        <f t="shared" si="277"/>
        <v>856.71431999999993</v>
      </c>
      <c r="J868" s="49">
        <v>1</v>
      </c>
      <c r="K868" s="50">
        <f t="shared" si="286"/>
        <v>9</v>
      </c>
      <c r="L868" s="30" t="s">
        <v>1082</v>
      </c>
      <c r="M868" s="31">
        <v>61.3</v>
      </c>
      <c r="N868" s="48">
        <f t="shared" si="279"/>
        <v>44.810299999999998</v>
      </c>
      <c r="O868" s="48">
        <f t="shared" si="280"/>
        <v>44.810299999999998</v>
      </c>
      <c r="P868" s="48">
        <f t="shared" si="281"/>
        <v>403.29269999999997</v>
      </c>
      <c r="Q868" s="48">
        <f t="shared" si="282"/>
        <v>1260.00702</v>
      </c>
      <c r="R868" s="41">
        <f t="shared" si="283"/>
        <v>1771.8145593479996</v>
      </c>
    </row>
    <row r="869" spans="2:18" ht="89.25" x14ac:dyDescent="0.2">
      <c r="B869" s="61">
        <f>IF(F869&lt;&gt;"",1+MAX($B$21:B868),"")</f>
        <v>521</v>
      </c>
      <c r="C869" s="195"/>
      <c r="D869" s="73" t="s">
        <v>798</v>
      </c>
      <c r="E869" s="14" t="s">
        <v>79</v>
      </c>
      <c r="F869" s="19">
        <v>4</v>
      </c>
      <c r="G869" s="48">
        <f>G868+20</f>
        <v>119.99</v>
      </c>
      <c r="H869" s="48">
        <f t="shared" si="276"/>
        <v>114.23047999999999</v>
      </c>
      <c r="I869" s="48">
        <f t="shared" si="277"/>
        <v>456.92191999999994</v>
      </c>
      <c r="J869" s="49">
        <v>1</v>
      </c>
      <c r="K869" s="50">
        <f t="shared" si="286"/>
        <v>4</v>
      </c>
      <c r="L869" s="30" t="s">
        <v>1082</v>
      </c>
      <c r="M869" s="31">
        <v>61.3</v>
      </c>
      <c r="N869" s="48">
        <f t="shared" si="279"/>
        <v>44.810299999999998</v>
      </c>
      <c r="O869" s="48">
        <f t="shared" si="280"/>
        <v>44.810299999999998</v>
      </c>
      <c r="P869" s="48">
        <f t="shared" si="281"/>
        <v>179.24119999999999</v>
      </c>
      <c r="Q869" s="48">
        <f t="shared" si="282"/>
        <v>636.16311999999994</v>
      </c>
      <c r="R869" s="41">
        <f t="shared" si="283"/>
        <v>893.82296148799992</v>
      </c>
    </row>
    <row r="870" spans="2:18" ht="76.5" x14ac:dyDescent="0.2">
      <c r="B870" s="61">
        <f>IF(F870&lt;&gt;"",1+MAX($B$21:B869),"")</f>
        <v>522</v>
      </c>
      <c r="C870" s="195"/>
      <c r="D870" s="73" t="s">
        <v>1087</v>
      </c>
      <c r="E870" s="14" t="s">
        <v>74</v>
      </c>
      <c r="F870" s="19">
        <v>30.36</v>
      </c>
      <c r="G870" s="48">
        <v>18.5</v>
      </c>
      <c r="H870" s="48">
        <f t="shared" si="276"/>
        <v>17.611999999999998</v>
      </c>
      <c r="I870" s="48">
        <f t="shared" si="277"/>
        <v>534.70031999999992</v>
      </c>
      <c r="J870" s="49">
        <v>6.9000000000000006E-2</v>
      </c>
      <c r="K870" s="50">
        <f t="shared" si="286"/>
        <v>2.09484</v>
      </c>
      <c r="L870" s="30" t="s">
        <v>1082</v>
      </c>
      <c r="M870" s="31">
        <v>61.3</v>
      </c>
      <c r="N870" s="48">
        <f t="shared" si="279"/>
        <v>44.810299999999998</v>
      </c>
      <c r="O870" s="48">
        <f t="shared" si="280"/>
        <v>3.0919107000000001</v>
      </c>
      <c r="P870" s="48">
        <f t="shared" si="281"/>
        <v>93.870408851999997</v>
      </c>
      <c r="Q870" s="48">
        <f t="shared" si="282"/>
        <v>628.57072885199989</v>
      </c>
      <c r="R870" s="41">
        <f t="shared" si="283"/>
        <v>880.60860027980391</v>
      </c>
    </row>
    <row r="871" spans="2:18" ht="102" x14ac:dyDescent="0.2">
      <c r="B871" s="61">
        <f>IF(F871&lt;&gt;"",1+MAX($B$21:B870),"")</f>
        <v>523</v>
      </c>
      <c r="C871" s="195"/>
      <c r="D871" s="73" t="s">
        <v>799</v>
      </c>
      <c r="E871" s="14" t="s">
        <v>79</v>
      </c>
      <c r="F871" s="19">
        <v>1</v>
      </c>
      <c r="G871" s="48">
        <v>799</v>
      </c>
      <c r="H871" s="48">
        <f t="shared" si="276"/>
        <v>760.64799999999991</v>
      </c>
      <c r="I871" s="48">
        <f t="shared" si="277"/>
        <v>760.64799999999991</v>
      </c>
      <c r="J871" s="49">
        <v>1</v>
      </c>
      <c r="K871" s="50">
        <f t="shared" si="286"/>
        <v>1</v>
      </c>
      <c r="L871" s="30" t="s">
        <v>1082</v>
      </c>
      <c r="M871" s="31">
        <v>61.3</v>
      </c>
      <c r="N871" s="48">
        <f t="shared" si="279"/>
        <v>44.810299999999998</v>
      </c>
      <c r="O871" s="48">
        <f t="shared" si="280"/>
        <v>44.810299999999998</v>
      </c>
      <c r="P871" s="48">
        <f t="shared" si="281"/>
        <v>44.810299999999998</v>
      </c>
      <c r="Q871" s="48">
        <f t="shared" si="282"/>
        <v>805.45829999999989</v>
      </c>
      <c r="R871" s="41">
        <f t="shared" si="283"/>
        <v>1126.1131653</v>
      </c>
    </row>
    <row r="872" spans="2:18" ht="102" x14ac:dyDescent="0.2">
      <c r="B872" s="61">
        <f>IF(F872&lt;&gt;"",1+MAX($B$21:B871),"")</f>
        <v>524</v>
      </c>
      <c r="C872" s="195"/>
      <c r="D872" s="73" t="s">
        <v>800</v>
      </c>
      <c r="E872" s="14" t="s">
        <v>79</v>
      </c>
      <c r="F872" s="19">
        <v>2</v>
      </c>
      <c r="G872" s="48">
        <v>250</v>
      </c>
      <c r="H872" s="48">
        <f t="shared" si="276"/>
        <v>238</v>
      </c>
      <c r="I872" s="48">
        <f t="shared" si="277"/>
        <v>476</v>
      </c>
      <c r="J872" s="49">
        <v>1</v>
      </c>
      <c r="K872" s="50">
        <f t="shared" si="286"/>
        <v>2</v>
      </c>
      <c r="L872" s="30" t="s">
        <v>1082</v>
      </c>
      <c r="M872" s="31">
        <v>61.3</v>
      </c>
      <c r="N872" s="48">
        <f t="shared" si="279"/>
        <v>44.810299999999998</v>
      </c>
      <c r="O872" s="48">
        <f t="shared" si="280"/>
        <v>44.810299999999998</v>
      </c>
      <c r="P872" s="48">
        <f t="shared" si="281"/>
        <v>89.620599999999996</v>
      </c>
      <c r="Q872" s="48">
        <f t="shared" si="282"/>
        <v>565.62059999999997</v>
      </c>
      <c r="R872" s="41">
        <f t="shared" si="283"/>
        <v>792.57499619999999</v>
      </c>
    </row>
    <row r="873" spans="2:18" ht="89.25" x14ac:dyDescent="0.2">
      <c r="B873" s="61">
        <f>IF(F873&lt;&gt;"",1+MAX($B$21:B872),"")</f>
        <v>525</v>
      </c>
      <c r="C873" s="195"/>
      <c r="D873" s="73" t="s">
        <v>801</v>
      </c>
      <c r="E873" s="14" t="s">
        <v>79</v>
      </c>
      <c r="F873" s="19">
        <v>7</v>
      </c>
      <c r="G873" s="48">
        <v>80.83</v>
      </c>
      <c r="H873" s="48">
        <f t="shared" si="276"/>
        <v>76.950159999999997</v>
      </c>
      <c r="I873" s="48">
        <f t="shared" si="277"/>
        <v>538.65111999999999</v>
      </c>
      <c r="J873" s="49">
        <v>1</v>
      </c>
      <c r="K873" s="50">
        <f t="shared" si="286"/>
        <v>7</v>
      </c>
      <c r="L873" s="30" t="s">
        <v>1082</v>
      </c>
      <c r="M873" s="31">
        <v>61.3</v>
      </c>
      <c r="N873" s="48">
        <f t="shared" si="279"/>
        <v>44.810299999999998</v>
      </c>
      <c r="O873" s="48">
        <f t="shared" si="280"/>
        <v>44.810299999999998</v>
      </c>
      <c r="P873" s="48">
        <f t="shared" si="281"/>
        <v>313.6721</v>
      </c>
      <c r="Q873" s="48">
        <f t="shared" si="282"/>
        <v>852.32321999999999</v>
      </c>
      <c r="R873" s="41">
        <f t="shared" si="283"/>
        <v>1199.782510668</v>
      </c>
    </row>
    <row r="874" spans="2:18" ht="89.25" x14ac:dyDescent="0.2">
      <c r="B874" s="61">
        <f>IF(F874&lt;&gt;"",1+MAX($B$21:B873),"")</f>
        <v>526</v>
      </c>
      <c r="C874" s="195"/>
      <c r="D874" s="73" t="s">
        <v>802</v>
      </c>
      <c r="E874" s="14" t="s">
        <v>79</v>
      </c>
      <c r="F874" s="19">
        <v>9</v>
      </c>
      <c r="G874" s="48">
        <f>G873+20</f>
        <v>100.83</v>
      </c>
      <c r="H874" s="48">
        <f t="shared" si="276"/>
        <v>95.990159999999989</v>
      </c>
      <c r="I874" s="48">
        <f t="shared" si="277"/>
        <v>863.91143999999986</v>
      </c>
      <c r="J874" s="49">
        <v>1</v>
      </c>
      <c r="K874" s="50">
        <f t="shared" si="286"/>
        <v>9</v>
      </c>
      <c r="L874" s="30" t="s">
        <v>1082</v>
      </c>
      <c r="M874" s="31">
        <v>61.3</v>
      </c>
      <c r="N874" s="48">
        <f t="shared" si="279"/>
        <v>44.810299999999998</v>
      </c>
      <c r="O874" s="48">
        <f t="shared" si="280"/>
        <v>44.810299999999998</v>
      </c>
      <c r="P874" s="48">
        <f t="shared" si="281"/>
        <v>403.29269999999997</v>
      </c>
      <c r="Q874" s="48">
        <f t="shared" si="282"/>
        <v>1267.2041399999998</v>
      </c>
      <c r="R874" s="41">
        <f t="shared" si="283"/>
        <v>1781.8646177159997</v>
      </c>
    </row>
    <row r="875" spans="2:18" ht="89.25" x14ac:dyDescent="0.2">
      <c r="B875" s="61">
        <f>IF(F875&lt;&gt;"",1+MAX($B$21:B874),"")</f>
        <v>527</v>
      </c>
      <c r="C875" s="195"/>
      <c r="D875" s="73" t="s">
        <v>803</v>
      </c>
      <c r="E875" s="14" t="s">
        <v>79</v>
      </c>
      <c r="F875" s="19">
        <v>2</v>
      </c>
      <c r="G875" s="48">
        <v>1500</v>
      </c>
      <c r="H875" s="48">
        <f t="shared" si="276"/>
        <v>1428</v>
      </c>
      <c r="I875" s="48">
        <f t="shared" si="277"/>
        <v>2856</v>
      </c>
      <c r="J875" s="49">
        <v>1</v>
      </c>
      <c r="K875" s="50">
        <f t="shared" si="286"/>
        <v>2</v>
      </c>
      <c r="L875" s="30" t="s">
        <v>1082</v>
      </c>
      <c r="M875" s="31">
        <v>61.3</v>
      </c>
      <c r="N875" s="48">
        <f t="shared" si="279"/>
        <v>44.810299999999998</v>
      </c>
      <c r="O875" s="48">
        <f t="shared" si="280"/>
        <v>44.810299999999998</v>
      </c>
      <c r="P875" s="48">
        <f t="shared" si="281"/>
        <v>89.620599999999996</v>
      </c>
      <c r="Q875" s="48">
        <f t="shared" si="282"/>
        <v>2945.6206000000002</v>
      </c>
      <c r="R875" s="41">
        <f t="shared" si="283"/>
        <v>4116.0069962000007</v>
      </c>
    </row>
    <row r="876" spans="2:18" ht="89.25" x14ac:dyDescent="0.2">
      <c r="B876" s="61">
        <f>IF(F876&lt;&gt;"",1+MAX($B$21:B875),"")</f>
        <v>528</v>
      </c>
      <c r="C876" s="195"/>
      <c r="D876" s="73" t="s">
        <v>804</v>
      </c>
      <c r="E876" s="14" t="s">
        <v>79</v>
      </c>
      <c r="F876" s="19">
        <v>1</v>
      </c>
      <c r="G876" s="48">
        <v>2300</v>
      </c>
      <c r="H876" s="48">
        <f t="shared" si="276"/>
        <v>2189.6</v>
      </c>
      <c r="I876" s="48">
        <f t="shared" si="277"/>
        <v>2189.6</v>
      </c>
      <c r="J876" s="49">
        <v>1</v>
      </c>
      <c r="K876" s="50">
        <f t="shared" si="286"/>
        <v>1</v>
      </c>
      <c r="L876" s="30" t="s">
        <v>1082</v>
      </c>
      <c r="M876" s="31">
        <v>61.3</v>
      </c>
      <c r="N876" s="48">
        <f t="shared" si="279"/>
        <v>44.810299999999998</v>
      </c>
      <c r="O876" s="48">
        <f t="shared" si="280"/>
        <v>44.810299999999998</v>
      </c>
      <c r="P876" s="48">
        <f t="shared" si="281"/>
        <v>44.810299999999998</v>
      </c>
      <c r="Q876" s="48">
        <f t="shared" si="282"/>
        <v>2234.4103</v>
      </c>
      <c r="R876" s="41">
        <f t="shared" si="283"/>
        <v>3121.5017380999998</v>
      </c>
    </row>
    <row r="877" spans="2:18" ht="114.75" x14ac:dyDescent="0.2">
      <c r="B877" s="61">
        <f>IF(F877&lt;&gt;"",1+MAX($B$21:B876),"")</f>
        <v>529</v>
      </c>
      <c r="C877" s="195"/>
      <c r="D877" s="73" t="s">
        <v>805</v>
      </c>
      <c r="E877" s="14" t="s">
        <v>74</v>
      </c>
      <c r="F877" s="19">
        <v>9.1300000000000008</v>
      </c>
      <c r="G877" s="48">
        <v>18.5</v>
      </c>
      <c r="H877" s="48">
        <f t="shared" si="276"/>
        <v>17.611999999999998</v>
      </c>
      <c r="I877" s="48">
        <f t="shared" si="277"/>
        <v>160.79756</v>
      </c>
      <c r="J877" s="49">
        <v>6.9000000000000006E-2</v>
      </c>
      <c r="K877" s="50">
        <f t="shared" si="286"/>
        <v>0.62997000000000014</v>
      </c>
      <c r="L877" s="30" t="s">
        <v>1082</v>
      </c>
      <c r="M877" s="31">
        <v>61.3</v>
      </c>
      <c r="N877" s="48">
        <f t="shared" si="279"/>
        <v>44.810299999999998</v>
      </c>
      <c r="O877" s="48">
        <f t="shared" si="280"/>
        <v>3.0919107000000001</v>
      </c>
      <c r="P877" s="48">
        <f t="shared" si="281"/>
        <v>28.229144691000002</v>
      </c>
      <c r="Q877" s="48">
        <f t="shared" si="282"/>
        <v>189.02670469100002</v>
      </c>
      <c r="R877" s="41">
        <f t="shared" si="283"/>
        <v>264.82070225805705</v>
      </c>
    </row>
    <row r="878" spans="2:18" ht="76.5" x14ac:dyDescent="0.2">
      <c r="B878" s="61">
        <f>IF(F878&lt;&gt;"",1+MAX($B$21:B877),"")</f>
        <v>530</v>
      </c>
      <c r="C878" s="195"/>
      <c r="D878" s="73" t="s">
        <v>806</v>
      </c>
      <c r="E878" s="14" t="s">
        <v>79</v>
      </c>
      <c r="F878" s="19">
        <v>4</v>
      </c>
      <c r="G878" s="48">
        <v>517.79999999999995</v>
      </c>
      <c r="H878" s="48">
        <f t="shared" si="276"/>
        <v>492.94559999999996</v>
      </c>
      <c r="I878" s="48">
        <f t="shared" si="277"/>
        <v>1971.7823999999998</v>
      </c>
      <c r="J878" s="49">
        <v>1</v>
      </c>
      <c r="K878" s="50">
        <f t="shared" si="286"/>
        <v>4</v>
      </c>
      <c r="L878" s="30" t="s">
        <v>1082</v>
      </c>
      <c r="M878" s="31">
        <v>61.3</v>
      </c>
      <c r="N878" s="48">
        <f t="shared" si="279"/>
        <v>44.810299999999998</v>
      </c>
      <c r="O878" s="48">
        <f t="shared" si="280"/>
        <v>44.810299999999998</v>
      </c>
      <c r="P878" s="48">
        <f t="shared" si="281"/>
        <v>179.24119999999999</v>
      </c>
      <c r="Q878" s="48">
        <f t="shared" si="282"/>
        <v>2151.0236</v>
      </c>
      <c r="R878" s="41">
        <f t="shared" si="283"/>
        <v>3009.1741357599999</v>
      </c>
    </row>
    <row r="879" spans="2:18" ht="76.5" x14ac:dyDescent="0.2">
      <c r="B879" s="61">
        <f>IF(F879&lt;&gt;"",1+MAX($B$21:B878),"")</f>
        <v>531</v>
      </c>
      <c r="C879" s="195"/>
      <c r="D879" s="73" t="s">
        <v>807</v>
      </c>
      <c r="E879" s="14" t="s">
        <v>79</v>
      </c>
      <c r="F879" s="19">
        <v>2</v>
      </c>
      <c r="G879" s="48">
        <v>477.3</v>
      </c>
      <c r="H879" s="48">
        <f t="shared" si="276"/>
        <v>454.38959999999997</v>
      </c>
      <c r="I879" s="48">
        <f t="shared" si="277"/>
        <v>908.77919999999995</v>
      </c>
      <c r="J879" s="49">
        <v>1</v>
      </c>
      <c r="K879" s="50">
        <f t="shared" si="286"/>
        <v>2</v>
      </c>
      <c r="L879" s="30" t="s">
        <v>1082</v>
      </c>
      <c r="M879" s="31">
        <v>61.3</v>
      </c>
      <c r="N879" s="48">
        <f t="shared" si="279"/>
        <v>44.810299999999998</v>
      </c>
      <c r="O879" s="48">
        <f t="shared" si="280"/>
        <v>44.810299999999998</v>
      </c>
      <c r="P879" s="48">
        <f t="shared" si="281"/>
        <v>89.620599999999996</v>
      </c>
      <c r="Q879" s="48">
        <f t="shared" si="282"/>
        <v>998.39979999999991</v>
      </c>
      <c r="R879" s="41">
        <f t="shared" si="283"/>
        <v>1396.9078710800002</v>
      </c>
    </row>
    <row r="880" spans="2:18" ht="76.5" x14ac:dyDescent="0.2">
      <c r="B880" s="61">
        <f>IF(F880&lt;&gt;"",1+MAX($B$21:B879),"")</f>
        <v>532</v>
      </c>
      <c r="C880" s="195"/>
      <c r="D880" s="73" t="s">
        <v>808</v>
      </c>
      <c r="E880" s="14" t="s">
        <v>79</v>
      </c>
      <c r="F880" s="19">
        <v>1</v>
      </c>
      <c r="G880" s="48">
        <v>681.75</v>
      </c>
      <c r="H880" s="48">
        <f t="shared" si="276"/>
        <v>649.02599999999995</v>
      </c>
      <c r="I880" s="48">
        <f t="shared" si="277"/>
        <v>649.02599999999995</v>
      </c>
      <c r="J880" s="49">
        <v>1</v>
      </c>
      <c r="K880" s="50">
        <f t="shared" si="286"/>
        <v>1</v>
      </c>
      <c r="L880" s="30" t="s">
        <v>1082</v>
      </c>
      <c r="M880" s="31">
        <v>61.3</v>
      </c>
      <c r="N880" s="48">
        <f t="shared" si="279"/>
        <v>44.810299999999998</v>
      </c>
      <c r="O880" s="48">
        <f t="shared" si="280"/>
        <v>44.810299999999998</v>
      </c>
      <c r="P880" s="48">
        <f t="shared" si="281"/>
        <v>44.810299999999998</v>
      </c>
      <c r="Q880" s="48">
        <f t="shared" si="282"/>
        <v>693.83629999999994</v>
      </c>
      <c r="R880" s="41">
        <f t="shared" si="283"/>
        <v>970.24420450000002</v>
      </c>
    </row>
    <row r="881" spans="2:19" x14ac:dyDescent="0.2">
      <c r="B881" s="61">
        <f>IF(F881&lt;&gt;"",1+MAX($B$21:B880),"")</f>
        <v>533</v>
      </c>
      <c r="C881" s="195"/>
      <c r="D881" s="73" t="s">
        <v>787</v>
      </c>
      <c r="E881" s="14" t="s">
        <v>79</v>
      </c>
      <c r="F881" s="19">
        <v>1</v>
      </c>
      <c r="G881" s="48">
        <v>200</v>
      </c>
      <c r="H881" s="48">
        <f t="shared" si="276"/>
        <v>190.39999999999998</v>
      </c>
      <c r="I881" s="48">
        <f t="shared" si="277"/>
        <v>190.39999999999998</v>
      </c>
      <c r="J881" s="49">
        <v>1</v>
      </c>
      <c r="K881" s="50">
        <f t="shared" si="286"/>
        <v>1</v>
      </c>
      <c r="L881" s="30" t="s">
        <v>1082</v>
      </c>
      <c r="M881" s="31">
        <v>61.3</v>
      </c>
      <c r="N881" s="48">
        <f t="shared" si="279"/>
        <v>44.810299999999998</v>
      </c>
      <c r="O881" s="48">
        <f t="shared" si="280"/>
        <v>44.810299999999998</v>
      </c>
      <c r="P881" s="48">
        <f t="shared" si="281"/>
        <v>44.810299999999998</v>
      </c>
      <c r="Q881" s="48">
        <f t="shared" si="282"/>
        <v>235.21029999999996</v>
      </c>
      <c r="R881" s="41">
        <f t="shared" si="283"/>
        <v>329.81885809999994</v>
      </c>
    </row>
    <row r="882" spans="2:19" x14ac:dyDescent="0.2">
      <c r="B882" s="61" t="str">
        <f>IF(F882&lt;&gt;"",1+MAX($B$21:B881),"")</f>
        <v/>
      </c>
      <c r="C882" s="67"/>
      <c r="D882" s="73"/>
      <c r="E882" s="14"/>
      <c r="F882" s="19"/>
      <c r="G882" s="48"/>
      <c r="H882" s="48">
        <f t="shared" si="276"/>
        <v>0</v>
      </c>
      <c r="I882" s="48">
        <f t="shared" si="277"/>
        <v>0</v>
      </c>
      <c r="J882" s="49"/>
      <c r="K882" s="50">
        <f t="shared" si="278"/>
        <v>0</v>
      </c>
      <c r="L882" s="50"/>
      <c r="M882" s="48"/>
      <c r="N882" s="48">
        <f t="shared" si="279"/>
        <v>0</v>
      </c>
      <c r="O882" s="48">
        <f t="shared" si="280"/>
        <v>0</v>
      </c>
      <c r="P882" s="48">
        <f t="shared" si="281"/>
        <v>0</v>
      </c>
      <c r="Q882" s="48">
        <f t="shared" si="282"/>
        <v>0</v>
      </c>
      <c r="R882" s="41">
        <f t="shared" si="283"/>
        <v>0</v>
      </c>
    </row>
    <row r="883" spans="2:19" x14ac:dyDescent="0.2">
      <c r="B883" s="62" t="str">
        <f>IF(F883&lt;&gt;"",1+MAX($B$21:B882),"")</f>
        <v/>
      </c>
      <c r="C883" s="68"/>
      <c r="D883" s="74" t="s">
        <v>141</v>
      </c>
      <c r="E883" s="14"/>
      <c r="F883" s="19"/>
      <c r="G883" s="48"/>
      <c r="H883" s="48">
        <f t="shared" si="276"/>
        <v>0</v>
      </c>
      <c r="I883" s="48">
        <f t="shared" si="277"/>
        <v>0</v>
      </c>
      <c r="J883" s="49"/>
      <c r="K883" s="50">
        <f t="shared" si="278"/>
        <v>0</v>
      </c>
      <c r="L883" s="50"/>
      <c r="M883" s="48"/>
      <c r="N883" s="48">
        <f t="shared" si="279"/>
        <v>0</v>
      </c>
      <c r="O883" s="48">
        <f t="shared" si="280"/>
        <v>0</v>
      </c>
      <c r="P883" s="48">
        <f t="shared" si="281"/>
        <v>0</v>
      </c>
      <c r="Q883" s="48">
        <f t="shared" si="282"/>
        <v>0</v>
      </c>
      <c r="R883" s="41">
        <f t="shared" si="283"/>
        <v>0</v>
      </c>
    </row>
    <row r="884" spans="2:19" x14ac:dyDescent="0.2">
      <c r="B884" s="61">
        <f>IF(F884&lt;&gt;"",1+MAX($B$21:B883),"")</f>
        <v>534</v>
      </c>
      <c r="C884" s="195" t="s">
        <v>860</v>
      </c>
      <c r="D884" s="73" t="s">
        <v>727</v>
      </c>
      <c r="E884" s="14" t="s">
        <v>79</v>
      </c>
      <c r="F884" s="19">
        <v>6</v>
      </c>
      <c r="G884" s="31">
        <v>49.5</v>
      </c>
      <c r="H884" s="12">
        <f t="shared" si="276"/>
        <v>47.123999999999995</v>
      </c>
      <c r="I884" s="12">
        <f t="shared" si="277"/>
        <v>282.74399999999997</v>
      </c>
      <c r="J884" s="32">
        <v>0.59699999999999998</v>
      </c>
      <c r="K884" s="7">
        <f t="shared" si="278"/>
        <v>3.5819999999999999</v>
      </c>
      <c r="L884" s="30" t="s">
        <v>1082</v>
      </c>
      <c r="M884" s="31">
        <v>61.3</v>
      </c>
      <c r="N884" s="48">
        <f t="shared" si="279"/>
        <v>44.810299999999998</v>
      </c>
      <c r="O884" s="48">
        <f t="shared" si="280"/>
        <v>26.751749099999998</v>
      </c>
      <c r="P884" s="48">
        <f t="shared" si="281"/>
        <v>160.51049459999999</v>
      </c>
      <c r="Q884" s="48">
        <f t="shared" si="282"/>
        <v>443.25449459999993</v>
      </c>
      <c r="R884" s="41">
        <f t="shared" si="283"/>
        <v>623.87219739419993</v>
      </c>
      <c r="S884" s="2"/>
    </row>
    <row r="885" spans="2:19" x14ac:dyDescent="0.2">
      <c r="B885" s="61">
        <f>IF(F885&lt;&gt;"",1+MAX($B$21:B884),"")</f>
        <v>535</v>
      </c>
      <c r="C885" s="195"/>
      <c r="D885" s="73" t="s">
        <v>728</v>
      </c>
      <c r="E885" s="14" t="s">
        <v>79</v>
      </c>
      <c r="F885" s="19">
        <v>7</v>
      </c>
      <c r="G885" s="31">
        <v>60</v>
      </c>
      <c r="H885" s="12">
        <f t="shared" si="276"/>
        <v>57.12</v>
      </c>
      <c r="I885" s="12">
        <f t="shared" si="277"/>
        <v>399.84</v>
      </c>
      <c r="J885" s="32">
        <v>0.59899999999999998</v>
      </c>
      <c r="K885" s="7">
        <f t="shared" si="278"/>
        <v>4.1929999999999996</v>
      </c>
      <c r="L885" s="30" t="s">
        <v>1082</v>
      </c>
      <c r="M885" s="31">
        <v>61.3</v>
      </c>
      <c r="N885" s="48">
        <f t="shared" si="279"/>
        <v>44.810299999999998</v>
      </c>
      <c r="O885" s="48">
        <f t="shared" si="280"/>
        <v>26.841369699999998</v>
      </c>
      <c r="P885" s="48">
        <f t="shared" si="281"/>
        <v>187.88958789999998</v>
      </c>
      <c r="Q885" s="48">
        <f t="shared" si="282"/>
        <v>587.72958789999996</v>
      </c>
      <c r="R885" s="41">
        <f t="shared" si="283"/>
        <v>826.45501793329993</v>
      </c>
      <c r="S885" s="2"/>
    </row>
    <row r="886" spans="2:19" x14ac:dyDescent="0.2">
      <c r="B886" s="61">
        <f>IF(F886&lt;&gt;"",1+MAX($B$21:B885),"")</f>
        <v>536</v>
      </c>
      <c r="C886" s="195"/>
      <c r="D886" s="73" t="s">
        <v>729</v>
      </c>
      <c r="E886" s="14" t="s">
        <v>79</v>
      </c>
      <c r="F886" s="19">
        <v>17</v>
      </c>
      <c r="G886" s="31">
        <v>72.5</v>
      </c>
      <c r="H886" s="12">
        <f t="shared" si="276"/>
        <v>69.02</v>
      </c>
      <c r="I886" s="12">
        <f t="shared" si="277"/>
        <v>1173.3399999999999</v>
      </c>
      <c r="J886" s="32">
        <v>0.75</v>
      </c>
      <c r="K886" s="7">
        <f t="shared" si="278"/>
        <v>12.75</v>
      </c>
      <c r="L886" s="30" t="s">
        <v>1082</v>
      </c>
      <c r="M886" s="31">
        <v>61.3</v>
      </c>
      <c r="N886" s="48">
        <f t="shared" si="279"/>
        <v>44.810299999999998</v>
      </c>
      <c r="O886" s="48">
        <f t="shared" si="280"/>
        <v>33.607725000000002</v>
      </c>
      <c r="P886" s="48">
        <f t="shared" si="281"/>
        <v>571.33132499999999</v>
      </c>
      <c r="Q886" s="48">
        <f t="shared" si="282"/>
        <v>1744.6713249999998</v>
      </c>
      <c r="R886" s="41">
        <f t="shared" si="283"/>
        <v>2453.7417767749998</v>
      </c>
      <c r="S886" s="2"/>
    </row>
    <row r="887" spans="2:19" x14ac:dyDescent="0.2">
      <c r="B887" s="61">
        <f>IF(F887&lt;&gt;"",1+MAX($B$21:B886),"")</f>
        <v>537</v>
      </c>
      <c r="C887" s="195"/>
      <c r="D887" s="73" t="s">
        <v>730</v>
      </c>
      <c r="E887" s="14" t="s">
        <v>79</v>
      </c>
      <c r="F887" s="19">
        <v>1</v>
      </c>
      <c r="G887" s="31">
        <v>62</v>
      </c>
      <c r="H887" s="12">
        <f t="shared" ref="H887:H890" si="287">G887*$T$2</f>
        <v>59.024000000000001</v>
      </c>
      <c r="I887" s="12">
        <f t="shared" ref="I887:I890" si="288">F887*H887</f>
        <v>59.024000000000001</v>
      </c>
      <c r="J887" s="32">
        <v>0.59899999999999998</v>
      </c>
      <c r="K887" s="7">
        <f t="shared" ref="K887:K890" si="289">F887*J887</f>
        <v>0.59899999999999998</v>
      </c>
      <c r="L887" s="30" t="s">
        <v>1082</v>
      </c>
      <c r="M887" s="31">
        <v>61.3</v>
      </c>
      <c r="N887" s="48">
        <f t="shared" ref="N887:N950" si="290">M887*$U$2</f>
        <v>44.810299999999998</v>
      </c>
      <c r="O887" s="48">
        <f t="shared" ref="O887:O950" si="291">J887*N887</f>
        <v>26.841369699999998</v>
      </c>
      <c r="P887" s="48">
        <f t="shared" ref="P887:P950" si="292">F887*O887</f>
        <v>26.841369699999998</v>
      </c>
      <c r="Q887" s="48">
        <f t="shared" ref="Q887:Q950" si="293">I887+P887</f>
        <v>85.865369700000002</v>
      </c>
      <c r="R887" s="41">
        <f t="shared" ref="R887:R950" si="294">Q887+(I887*$Q$7)+(P887*$Q$8)+(Q887*$Q$9)+(Q887*$Q$11)+($Q$10*(Q887+(I887*$Q$7)+(P887*$Q$8)+(Q887*$Q$9)))</f>
        <v>120.72374816190001</v>
      </c>
      <c r="S887" s="2"/>
    </row>
    <row r="888" spans="2:19" x14ac:dyDescent="0.2">
      <c r="B888" s="61">
        <f>IF(F888&lt;&gt;"",1+MAX($B$21:B887),"")</f>
        <v>538</v>
      </c>
      <c r="C888" s="195"/>
      <c r="D888" s="73" t="s">
        <v>731</v>
      </c>
      <c r="E888" s="14" t="s">
        <v>79</v>
      </c>
      <c r="F888" s="19">
        <v>7</v>
      </c>
      <c r="G888" s="31">
        <v>78</v>
      </c>
      <c r="H888" s="12">
        <f t="shared" si="287"/>
        <v>74.256</v>
      </c>
      <c r="I888" s="12">
        <f t="shared" si="288"/>
        <v>519.79200000000003</v>
      </c>
      <c r="J888" s="32">
        <v>0.75</v>
      </c>
      <c r="K888" s="7">
        <f t="shared" si="289"/>
        <v>5.25</v>
      </c>
      <c r="L888" s="30" t="s">
        <v>1082</v>
      </c>
      <c r="M888" s="31">
        <v>61.3</v>
      </c>
      <c r="N888" s="48">
        <f t="shared" si="290"/>
        <v>44.810299999999998</v>
      </c>
      <c r="O888" s="48">
        <f t="shared" si="291"/>
        <v>33.607725000000002</v>
      </c>
      <c r="P888" s="48">
        <f t="shared" si="292"/>
        <v>235.254075</v>
      </c>
      <c r="Q888" s="48">
        <f t="shared" si="293"/>
        <v>755.04607499999997</v>
      </c>
      <c r="R888" s="41">
        <f t="shared" si="294"/>
        <v>1061.545113825</v>
      </c>
      <c r="S888" s="2"/>
    </row>
    <row r="889" spans="2:19" x14ac:dyDescent="0.2">
      <c r="B889" s="61">
        <f>IF(F889&lt;&gt;"",1+MAX($B$21:B888),"")</f>
        <v>539</v>
      </c>
      <c r="C889" s="195"/>
      <c r="D889" s="73" t="s">
        <v>732</v>
      </c>
      <c r="E889" s="14" t="s">
        <v>79</v>
      </c>
      <c r="F889" s="19">
        <v>1</v>
      </c>
      <c r="G889" s="31">
        <v>38</v>
      </c>
      <c r="H889" s="12">
        <f t="shared" si="287"/>
        <v>36.176000000000002</v>
      </c>
      <c r="I889" s="12">
        <f t="shared" si="288"/>
        <v>36.176000000000002</v>
      </c>
      <c r="J889" s="32">
        <v>0.46500000000000002</v>
      </c>
      <c r="K889" s="7">
        <f t="shared" si="289"/>
        <v>0.46500000000000002</v>
      </c>
      <c r="L889" s="30" t="s">
        <v>1082</v>
      </c>
      <c r="M889" s="31">
        <v>61.3</v>
      </c>
      <c r="N889" s="48">
        <f t="shared" si="290"/>
        <v>44.810299999999998</v>
      </c>
      <c r="O889" s="48">
        <f t="shared" si="291"/>
        <v>20.836789500000002</v>
      </c>
      <c r="P889" s="48">
        <f t="shared" si="292"/>
        <v>20.836789500000002</v>
      </c>
      <c r="Q889" s="48">
        <f t="shared" si="293"/>
        <v>57.012789500000004</v>
      </c>
      <c r="R889" s="41">
        <f t="shared" si="294"/>
        <v>80.250265016499995</v>
      </c>
      <c r="S889" s="2"/>
    </row>
    <row r="890" spans="2:19" x14ac:dyDescent="0.2">
      <c r="B890" s="61">
        <f>IF(F890&lt;&gt;"",1+MAX($B$21:B889),"")</f>
        <v>540</v>
      </c>
      <c r="C890" s="195"/>
      <c r="D890" s="73" t="s">
        <v>733</v>
      </c>
      <c r="E890" s="14" t="s">
        <v>79</v>
      </c>
      <c r="F890" s="19">
        <v>5</v>
      </c>
      <c r="G890" s="31">
        <v>52</v>
      </c>
      <c r="H890" s="12">
        <f t="shared" si="287"/>
        <v>49.503999999999998</v>
      </c>
      <c r="I890" s="12">
        <f t="shared" si="288"/>
        <v>247.51999999999998</v>
      </c>
      <c r="J890" s="32">
        <v>0.59699999999999998</v>
      </c>
      <c r="K890" s="7">
        <f t="shared" si="289"/>
        <v>2.9849999999999999</v>
      </c>
      <c r="L890" s="30" t="s">
        <v>1082</v>
      </c>
      <c r="M890" s="31">
        <v>61.3</v>
      </c>
      <c r="N890" s="48">
        <f t="shared" si="290"/>
        <v>44.810299999999998</v>
      </c>
      <c r="O890" s="48">
        <f t="shared" si="291"/>
        <v>26.751749099999998</v>
      </c>
      <c r="P890" s="48">
        <f t="shared" si="292"/>
        <v>133.75874549999997</v>
      </c>
      <c r="Q890" s="48">
        <f t="shared" si="293"/>
        <v>381.27874549999996</v>
      </c>
      <c r="R890" s="41">
        <f t="shared" si="294"/>
        <v>536.51065782849992</v>
      </c>
      <c r="S890" s="2"/>
    </row>
    <row r="891" spans="2:19" ht="25.5" x14ac:dyDescent="0.2">
      <c r="B891" s="61">
        <f>IF(F891&lt;&gt;"",1+MAX($B$21:B890),"")</f>
        <v>541</v>
      </c>
      <c r="C891" s="195"/>
      <c r="D891" s="73" t="s">
        <v>734</v>
      </c>
      <c r="E891" s="14" t="s">
        <v>79</v>
      </c>
      <c r="F891" s="19">
        <v>1</v>
      </c>
      <c r="G891" s="31">
        <v>62</v>
      </c>
      <c r="H891" s="12">
        <f t="shared" ref="H891:H897" si="295">G891*$T$2</f>
        <v>59.024000000000001</v>
      </c>
      <c r="I891" s="12">
        <f t="shared" ref="I891:I897" si="296">F891*H891</f>
        <v>59.024000000000001</v>
      </c>
      <c r="J891" s="32">
        <v>0.59899999999999998</v>
      </c>
      <c r="K891" s="7">
        <f t="shared" ref="K891:K897" si="297">F891*J891</f>
        <v>0.59899999999999998</v>
      </c>
      <c r="L891" s="30" t="s">
        <v>1082</v>
      </c>
      <c r="M891" s="31">
        <v>61.3</v>
      </c>
      <c r="N891" s="48">
        <f t="shared" si="290"/>
        <v>44.810299999999998</v>
      </c>
      <c r="O891" s="48">
        <f t="shared" si="291"/>
        <v>26.841369699999998</v>
      </c>
      <c r="P891" s="48">
        <f t="shared" si="292"/>
        <v>26.841369699999998</v>
      </c>
      <c r="Q891" s="48">
        <f t="shared" si="293"/>
        <v>85.865369700000002</v>
      </c>
      <c r="R891" s="41">
        <f t="shared" si="294"/>
        <v>120.72374816190001</v>
      </c>
      <c r="S891" s="2"/>
    </row>
    <row r="892" spans="2:19" ht="25.5" x14ac:dyDescent="0.2">
      <c r="B892" s="61">
        <f>IF(F892&lt;&gt;"",1+MAX($B$21:B891),"")</f>
        <v>542</v>
      </c>
      <c r="C892" s="195"/>
      <c r="D892" s="73" t="s">
        <v>735</v>
      </c>
      <c r="E892" s="14" t="s">
        <v>79</v>
      </c>
      <c r="F892" s="19">
        <v>1</v>
      </c>
      <c r="G892" s="31">
        <v>60</v>
      </c>
      <c r="H892" s="12">
        <f t="shared" si="295"/>
        <v>57.12</v>
      </c>
      <c r="I892" s="12">
        <f t="shared" si="296"/>
        <v>57.12</v>
      </c>
      <c r="J892" s="32">
        <v>0.59899999999999998</v>
      </c>
      <c r="K892" s="7">
        <f t="shared" si="297"/>
        <v>0.59899999999999998</v>
      </c>
      <c r="L892" s="30" t="s">
        <v>1082</v>
      </c>
      <c r="M892" s="31">
        <v>61.3</v>
      </c>
      <c r="N892" s="48">
        <f t="shared" si="290"/>
        <v>44.810299999999998</v>
      </c>
      <c r="O892" s="48">
        <f t="shared" si="291"/>
        <v>26.841369699999998</v>
      </c>
      <c r="P892" s="48">
        <f t="shared" si="292"/>
        <v>26.841369699999998</v>
      </c>
      <c r="Q892" s="48">
        <f t="shared" si="293"/>
        <v>83.961369699999992</v>
      </c>
      <c r="R892" s="41">
        <f t="shared" si="294"/>
        <v>118.06500256189997</v>
      </c>
      <c r="S892" s="2"/>
    </row>
    <row r="893" spans="2:19" x14ac:dyDescent="0.2">
      <c r="B893" s="61">
        <f>IF(F893&lt;&gt;"",1+MAX($B$21:B892),"")</f>
        <v>543</v>
      </c>
      <c r="C893" s="195"/>
      <c r="D893" s="73" t="s">
        <v>736</v>
      </c>
      <c r="E893" s="14" t="s">
        <v>79</v>
      </c>
      <c r="F893" s="19">
        <v>2</v>
      </c>
      <c r="G893" s="31">
        <v>49.5</v>
      </c>
      <c r="H893" s="12">
        <f t="shared" si="295"/>
        <v>47.123999999999995</v>
      </c>
      <c r="I893" s="12">
        <f t="shared" si="296"/>
        <v>94.24799999999999</v>
      </c>
      <c r="J893" s="32">
        <v>0.59699999999999998</v>
      </c>
      <c r="K893" s="7">
        <f t="shared" si="297"/>
        <v>1.194</v>
      </c>
      <c r="L893" s="30" t="s">
        <v>1082</v>
      </c>
      <c r="M893" s="31">
        <v>61.3</v>
      </c>
      <c r="N893" s="48">
        <f t="shared" si="290"/>
        <v>44.810299999999998</v>
      </c>
      <c r="O893" s="48">
        <f t="shared" si="291"/>
        <v>26.751749099999998</v>
      </c>
      <c r="P893" s="48">
        <f t="shared" si="292"/>
        <v>53.503498199999996</v>
      </c>
      <c r="Q893" s="48">
        <f t="shared" si="293"/>
        <v>147.75149819999999</v>
      </c>
      <c r="R893" s="41">
        <f t="shared" si="294"/>
        <v>207.9573991314</v>
      </c>
      <c r="S893" s="2"/>
    </row>
    <row r="894" spans="2:19" x14ac:dyDescent="0.2">
      <c r="B894" s="61">
        <f>IF(F894&lt;&gt;"",1+MAX($B$21:B893),"")</f>
        <v>544</v>
      </c>
      <c r="C894" s="195"/>
      <c r="D894" s="73" t="s">
        <v>737</v>
      </c>
      <c r="E894" s="14" t="s">
        <v>79</v>
      </c>
      <c r="F894" s="19">
        <v>2</v>
      </c>
      <c r="G894" s="31">
        <v>68</v>
      </c>
      <c r="H894" s="12">
        <f t="shared" si="295"/>
        <v>64.73599999999999</v>
      </c>
      <c r="I894" s="12">
        <f t="shared" si="296"/>
        <v>129.47199999999998</v>
      </c>
      <c r="J894" s="32">
        <v>0.59899999999999998</v>
      </c>
      <c r="K894" s="7">
        <f t="shared" si="297"/>
        <v>1.198</v>
      </c>
      <c r="L894" s="30" t="s">
        <v>1082</v>
      </c>
      <c r="M894" s="31">
        <v>61.3</v>
      </c>
      <c r="N894" s="48">
        <f t="shared" si="290"/>
        <v>44.810299999999998</v>
      </c>
      <c r="O894" s="48">
        <f t="shared" si="291"/>
        <v>26.841369699999998</v>
      </c>
      <c r="P894" s="48">
        <f t="shared" si="292"/>
        <v>53.682739399999996</v>
      </c>
      <c r="Q894" s="48">
        <f t="shared" si="293"/>
        <v>183.15473939999998</v>
      </c>
      <c r="R894" s="41">
        <f t="shared" si="294"/>
        <v>257.39996992379997</v>
      </c>
      <c r="S894" s="2"/>
    </row>
    <row r="895" spans="2:19" ht="25.5" x14ac:dyDescent="0.2">
      <c r="B895" s="61">
        <f>IF(F895&lt;&gt;"",1+MAX($B$21:B894),"")</f>
        <v>545</v>
      </c>
      <c r="C895" s="195"/>
      <c r="D895" s="73" t="s">
        <v>748</v>
      </c>
      <c r="E895" s="14" t="s">
        <v>79</v>
      </c>
      <c r="F895" s="19">
        <v>1</v>
      </c>
      <c r="G895" s="31">
        <v>61.38</v>
      </c>
      <c r="H895" s="12">
        <f t="shared" si="295"/>
        <v>58.433759999999999</v>
      </c>
      <c r="I895" s="12">
        <f t="shared" si="296"/>
        <v>58.433759999999999</v>
      </c>
      <c r="J895" s="32">
        <v>0.59699999999999998</v>
      </c>
      <c r="K895" s="7">
        <f t="shared" si="297"/>
        <v>0.59699999999999998</v>
      </c>
      <c r="L895" s="30" t="s">
        <v>1082</v>
      </c>
      <c r="M895" s="31">
        <v>61.3</v>
      </c>
      <c r="N895" s="48">
        <f t="shared" si="290"/>
        <v>44.810299999999998</v>
      </c>
      <c r="O895" s="48">
        <f t="shared" si="291"/>
        <v>26.751749099999998</v>
      </c>
      <c r="P895" s="48">
        <f t="shared" si="292"/>
        <v>26.751749099999998</v>
      </c>
      <c r="Q895" s="48">
        <f t="shared" si="293"/>
        <v>85.18550909999999</v>
      </c>
      <c r="R895" s="41">
        <f t="shared" si="294"/>
        <v>119.77164842969998</v>
      </c>
      <c r="S895" s="2"/>
    </row>
    <row r="896" spans="2:19" x14ac:dyDescent="0.2">
      <c r="B896" s="61">
        <f>IF(F896&lt;&gt;"",1+MAX($B$21:B895),"")</f>
        <v>546</v>
      </c>
      <c r="C896" s="195"/>
      <c r="D896" s="73" t="s">
        <v>738</v>
      </c>
      <c r="E896" s="14" t="s">
        <v>79</v>
      </c>
      <c r="F896" s="19">
        <v>1</v>
      </c>
      <c r="G896" s="31">
        <v>72.5</v>
      </c>
      <c r="H896" s="12">
        <f t="shared" si="295"/>
        <v>69.02</v>
      </c>
      <c r="I896" s="12">
        <f t="shared" si="296"/>
        <v>69.02</v>
      </c>
      <c r="J896" s="32">
        <v>0.75</v>
      </c>
      <c r="K896" s="7">
        <f t="shared" si="297"/>
        <v>0.75</v>
      </c>
      <c r="L896" s="30" t="s">
        <v>1082</v>
      </c>
      <c r="M896" s="31">
        <v>61.3</v>
      </c>
      <c r="N896" s="48">
        <f t="shared" si="290"/>
        <v>44.810299999999998</v>
      </c>
      <c r="O896" s="48">
        <f t="shared" si="291"/>
        <v>33.607725000000002</v>
      </c>
      <c r="P896" s="48">
        <f t="shared" si="292"/>
        <v>33.607725000000002</v>
      </c>
      <c r="Q896" s="48">
        <f t="shared" si="293"/>
        <v>102.627725</v>
      </c>
      <c r="R896" s="41">
        <f t="shared" si="294"/>
        <v>144.33775157499997</v>
      </c>
      <c r="S896" s="2"/>
    </row>
    <row r="897" spans="2:19" x14ac:dyDescent="0.2">
      <c r="B897" s="61">
        <f>IF(F897&lt;&gt;"",1+MAX($B$21:B896),"")</f>
        <v>547</v>
      </c>
      <c r="C897" s="195"/>
      <c r="D897" s="73" t="s">
        <v>739</v>
      </c>
      <c r="E897" s="14" t="s">
        <v>79</v>
      </c>
      <c r="F897" s="19">
        <v>3</v>
      </c>
      <c r="G897" s="31">
        <v>68.73</v>
      </c>
      <c r="H897" s="12">
        <f t="shared" si="295"/>
        <v>65.430959999999999</v>
      </c>
      <c r="I897" s="12">
        <f t="shared" si="296"/>
        <v>196.29288</v>
      </c>
      <c r="J897" s="32">
        <v>0.59699999999999998</v>
      </c>
      <c r="K897" s="7">
        <f t="shared" si="297"/>
        <v>1.7909999999999999</v>
      </c>
      <c r="L897" s="30" t="s">
        <v>1082</v>
      </c>
      <c r="M897" s="31">
        <v>61.3</v>
      </c>
      <c r="N897" s="48">
        <f t="shared" si="290"/>
        <v>44.810299999999998</v>
      </c>
      <c r="O897" s="48">
        <f t="shared" si="291"/>
        <v>26.751749099999998</v>
      </c>
      <c r="P897" s="48">
        <f t="shared" si="292"/>
        <v>80.255247299999994</v>
      </c>
      <c r="Q897" s="48">
        <f t="shared" si="293"/>
        <v>276.54812729999998</v>
      </c>
      <c r="R897" s="41">
        <f t="shared" si="294"/>
        <v>388.62761552909996</v>
      </c>
      <c r="S897" s="2"/>
    </row>
    <row r="898" spans="2:19" x14ac:dyDescent="0.2">
      <c r="B898" s="61">
        <f>IF(F898&lt;&gt;"",1+MAX($B$21:B897),"")</f>
        <v>548</v>
      </c>
      <c r="C898" s="195"/>
      <c r="D898" s="73" t="s">
        <v>740</v>
      </c>
      <c r="E898" s="14" t="s">
        <v>79</v>
      </c>
      <c r="F898" s="19">
        <v>7</v>
      </c>
      <c r="G898" s="31">
        <v>61.38</v>
      </c>
      <c r="H898" s="12">
        <f t="shared" ref="H898:H901" si="298">G898*$T$2</f>
        <v>58.433759999999999</v>
      </c>
      <c r="I898" s="12">
        <f t="shared" ref="I898:I901" si="299">F898*H898</f>
        <v>409.03631999999999</v>
      </c>
      <c r="J898" s="32">
        <v>0.59699999999999998</v>
      </c>
      <c r="K898" s="7">
        <f t="shared" ref="K898:K901" si="300">F898*J898</f>
        <v>4.1790000000000003</v>
      </c>
      <c r="L898" s="30" t="s">
        <v>1082</v>
      </c>
      <c r="M898" s="31">
        <v>61.3</v>
      </c>
      <c r="N898" s="48">
        <f t="shared" si="290"/>
        <v>44.810299999999998</v>
      </c>
      <c r="O898" s="48">
        <f t="shared" si="291"/>
        <v>26.751749099999998</v>
      </c>
      <c r="P898" s="48">
        <f t="shared" si="292"/>
        <v>187.2622437</v>
      </c>
      <c r="Q898" s="48">
        <f t="shared" si="293"/>
        <v>596.29856369999993</v>
      </c>
      <c r="R898" s="41">
        <f t="shared" si="294"/>
        <v>838.40153900789983</v>
      </c>
      <c r="S898" s="2"/>
    </row>
    <row r="899" spans="2:19" x14ac:dyDescent="0.2">
      <c r="B899" s="61">
        <f>IF(F899&lt;&gt;"",1+MAX($B$21:B898),"")</f>
        <v>549</v>
      </c>
      <c r="C899" s="195"/>
      <c r="D899" s="73" t="s">
        <v>741</v>
      </c>
      <c r="E899" s="14" t="s">
        <v>79</v>
      </c>
      <c r="F899" s="19">
        <v>5</v>
      </c>
      <c r="G899" s="31">
        <v>52</v>
      </c>
      <c r="H899" s="12">
        <f t="shared" si="298"/>
        <v>49.503999999999998</v>
      </c>
      <c r="I899" s="12">
        <f t="shared" si="299"/>
        <v>247.51999999999998</v>
      </c>
      <c r="J899" s="32">
        <v>0.59699999999999998</v>
      </c>
      <c r="K899" s="7">
        <f t="shared" si="300"/>
        <v>2.9849999999999999</v>
      </c>
      <c r="L899" s="30" t="s">
        <v>1082</v>
      </c>
      <c r="M899" s="31">
        <v>61.3</v>
      </c>
      <c r="N899" s="48">
        <f t="shared" si="290"/>
        <v>44.810299999999998</v>
      </c>
      <c r="O899" s="48">
        <f t="shared" ref="O899:O901" si="301">J899*N899</f>
        <v>26.751749099999998</v>
      </c>
      <c r="P899" s="48">
        <f t="shared" ref="P899:P901" si="302">F899*O899</f>
        <v>133.75874549999997</v>
      </c>
      <c r="Q899" s="48">
        <f t="shared" si="293"/>
        <v>381.27874549999996</v>
      </c>
      <c r="R899" s="41">
        <f t="shared" si="294"/>
        <v>536.51065782849992</v>
      </c>
      <c r="S899" s="2"/>
    </row>
    <row r="900" spans="2:19" ht="25.5" x14ac:dyDescent="0.2">
      <c r="B900" s="61">
        <f>IF(F900&lt;&gt;"",1+MAX($B$21:B899),"")</f>
        <v>550</v>
      </c>
      <c r="C900" s="195"/>
      <c r="D900" s="73" t="s">
        <v>742</v>
      </c>
      <c r="E900" s="14" t="s">
        <v>79</v>
      </c>
      <c r="F900" s="19">
        <v>1</v>
      </c>
      <c r="G900" s="31">
        <v>52</v>
      </c>
      <c r="H900" s="12">
        <f t="shared" si="298"/>
        <v>49.503999999999998</v>
      </c>
      <c r="I900" s="12">
        <f t="shared" si="299"/>
        <v>49.503999999999998</v>
      </c>
      <c r="J900" s="32">
        <v>0.59699999999999998</v>
      </c>
      <c r="K900" s="7">
        <f t="shared" si="300"/>
        <v>0.59699999999999998</v>
      </c>
      <c r="L900" s="30" t="s">
        <v>1082</v>
      </c>
      <c r="M900" s="31">
        <v>61.3</v>
      </c>
      <c r="N900" s="48">
        <f t="shared" si="290"/>
        <v>44.810299999999998</v>
      </c>
      <c r="O900" s="48">
        <f t="shared" si="301"/>
        <v>26.751749099999998</v>
      </c>
      <c r="P900" s="48">
        <f t="shared" si="302"/>
        <v>26.751749099999998</v>
      </c>
      <c r="Q900" s="48">
        <f t="shared" si="293"/>
        <v>76.255749100000003</v>
      </c>
      <c r="R900" s="41">
        <f t="shared" si="294"/>
        <v>107.30213156570001</v>
      </c>
      <c r="S900" s="2"/>
    </row>
    <row r="901" spans="2:19" x14ac:dyDescent="0.2">
      <c r="B901" s="61">
        <f>IF(F901&lt;&gt;"",1+MAX($B$21:B900),"")</f>
        <v>551</v>
      </c>
      <c r="C901" s="195"/>
      <c r="D901" s="73" t="s">
        <v>743</v>
      </c>
      <c r="E901" s="14" t="s">
        <v>79</v>
      </c>
      <c r="F901" s="19">
        <v>2</v>
      </c>
      <c r="G901" s="31">
        <v>72.5</v>
      </c>
      <c r="H901" s="12">
        <f t="shared" si="298"/>
        <v>69.02</v>
      </c>
      <c r="I901" s="12">
        <f t="shared" si="299"/>
        <v>138.04</v>
      </c>
      <c r="J901" s="32">
        <v>0.75</v>
      </c>
      <c r="K901" s="7">
        <f t="shared" si="300"/>
        <v>1.5</v>
      </c>
      <c r="L901" s="30" t="s">
        <v>1082</v>
      </c>
      <c r="M901" s="31">
        <v>61.3</v>
      </c>
      <c r="N901" s="48">
        <f t="shared" si="290"/>
        <v>44.810299999999998</v>
      </c>
      <c r="O901" s="48">
        <f t="shared" si="301"/>
        <v>33.607725000000002</v>
      </c>
      <c r="P901" s="48">
        <f t="shared" si="302"/>
        <v>67.215450000000004</v>
      </c>
      <c r="Q901" s="48">
        <f t="shared" si="293"/>
        <v>205.25545</v>
      </c>
      <c r="R901" s="41">
        <f t="shared" si="294"/>
        <v>288.67550314999994</v>
      </c>
      <c r="S901" s="2"/>
    </row>
    <row r="902" spans="2:19" x14ac:dyDescent="0.2">
      <c r="B902" s="61">
        <f>IF(F902&lt;&gt;"",1+MAX($B$21:B901),"")</f>
        <v>552</v>
      </c>
      <c r="C902" s="195"/>
      <c r="D902" s="73" t="s">
        <v>744</v>
      </c>
      <c r="E902" s="14" t="s">
        <v>79</v>
      </c>
      <c r="F902" s="19">
        <v>1</v>
      </c>
      <c r="G902" s="31">
        <v>61.38</v>
      </c>
      <c r="H902" s="12">
        <f t="shared" ref="H902" si="303">G902*$T$2</f>
        <v>58.433759999999999</v>
      </c>
      <c r="I902" s="12">
        <f t="shared" ref="I902" si="304">F902*H902</f>
        <v>58.433759999999999</v>
      </c>
      <c r="J902" s="32">
        <v>0.59699999999999998</v>
      </c>
      <c r="K902" s="7">
        <f t="shared" ref="K902" si="305">F902*J902</f>
        <v>0.59699999999999998</v>
      </c>
      <c r="L902" s="30" t="s">
        <v>1082</v>
      </c>
      <c r="M902" s="31">
        <v>61.3</v>
      </c>
      <c r="N902" s="48">
        <f t="shared" si="290"/>
        <v>44.810299999999998</v>
      </c>
      <c r="O902" s="48">
        <f t="shared" si="291"/>
        <v>26.751749099999998</v>
      </c>
      <c r="P902" s="48">
        <f t="shared" si="292"/>
        <v>26.751749099999998</v>
      </c>
      <c r="Q902" s="48">
        <f t="shared" si="293"/>
        <v>85.18550909999999</v>
      </c>
      <c r="R902" s="41">
        <f t="shared" si="294"/>
        <v>119.77164842969998</v>
      </c>
      <c r="S902" s="2"/>
    </row>
    <row r="903" spans="2:19" x14ac:dyDescent="0.2">
      <c r="B903" s="61" t="str">
        <f>IF(F903&lt;&gt;"",1+MAX($B$21:B902),"")</f>
        <v/>
      </c>
      <c r="C903" s="67"/>
      <c r="D903" s="73"/>
      <c r="E903" s="14"/>
      <c r="F903" s="19"/>
      <c r="G903" s="48"/>
      <c r="H903" s="48">
        <f t="shared" ref="H903:H950" si="306">G903*$T$2</f>
        <v>0</v>
      </c>
      <c r="I903" s="48">
        <f t="shared" ref="I903:I950" si="307">F903*H903</f>
        <v>0</v>
      </c>
      <c r="J903" s="49"/>
      <c r="K903" s="50">
        <f t="shared" ref="K903:K950" si="308">F903*J903</f>
        <v>0</v>
      </c>
      <c r="L903" s="50"/>
      <c r="M903" s="48"/>
      <c r="N903" s="48">
        <f t="shared" si="290"/>
        <v>0</v>
      </c>
      <c r="O903" s="48">
        <f t="shared" si="291"/>
        <v>0</v>
      </c>
      <c r="P903" s="48">
        <f t="shared" si="292"/>
        <v>0</v>
      </c>
      <c r="Q903" s="48">
        <f t="shared" si="293"/>
        <v>0</v>
      </c>
      <c r="R903" s="41">
        <f t="shared" si="294"/>
        <v>0</v>
      </c>
    </row>
    <row r="904" spans="2:19" x14ac:dyDescent="0.2">
      <c r="B904" s="62" t="str">
        <f>IF(F904&lt;&gt;"",1+MAX($B$21:B903),"")</f>
        <v/>
      </c>
      <c r="C904" s="68"/>
      <c r="D904" s="74" t="s">
        <v>142</v>
      </c>
      <c r="E904" s="14"/>
      <c r="F904" s="19"/>
      <c r="G904" s="48"/>
      <c r="H904" s="48">
        <f t="shared" si="306"/>
        <v>0</v>
      </c>
      <c r="I904" s="48">
        <f t="shared" si="307"/>
        <v>0</v>
      </c>
      <c r="J904" s="49"/>
      <c r="K904" s="50">
        <f t="shared" si="308"/>
        <v>0</v>
      </c>
      <c r="L904" s="50"/>
      <c r="M904" s="48"/>
      <c r="N904" s="48">
        <f t="shared" si="290"/>
        <v>0</v>
      </c>
      <c r="O904" s="48">
        <f t="shared" si="291"/>
        <v>0</v>
      </c>
      <c r="P904" s="48">
        <f t="shared" si="292"/>
        <v>0</v>
      </c>
      <c r="Q904" s="48">
        <f t="shared" si="293"/>
        <v>0</v>
      </c>
      <c r="R904" s="41">
        <f t="shared" si="294"/>
        <v>0</v>
      </c>
    </row>
    <row r="905" spans="2:19" x14ac:dyDescent="0.2">
      <c r="B905" s="61">
        <f>IF(F905&lt;&gt;"",1+MAX($B$21:B904),"")</f>
        <v>553</v>
      </c>
      <c r="C905" s="198" t="s">
        <v>861</v>
      </c>
      <c r="D905" s="73" t="s">
        <v>143</v>
      </c>
      <c r="E905" s="14" t="s">
        <v>79</v>
      </c>
      <c r="F905" s="19">
        <v>6</v>
      </c>
      <c r="G905" s="31">
        <v>210</v>
      </c>
      <c r="H905" s="12">
        <f t="shared" si="306"/>
        <v>199.92</v>
      </c>
      <c r="I905" s="12">
        <f t="shared" si="307"/>
        <v>1199.52</v>
      </c>
      <c r="J905" s="32">
        <v>1.3280000000000001</v>
      </c>
      <c r="K905" s="7">
        <f t="shared" si="308"/>
        <v>7.968</v>
      </c>
      <c r="L905" s="30" t="s">
        <v>1082</v>
      </c>
      <c r="M905" s="31">
        <v>61.3</v>
      </c>
      <c r="N905" s="48">
        <f t="shared" si="290"/>
        <v>44.810299999999998</v>
      </c>
      <c r="O905" s="48">
        <f t="shared" si="291"/>
        <v>59.508078400000002</v>
      </c>
      <c r="P905" s="48">
        <f t="shared" si="292"/>
        <v>357.04847040000004</v>
      </c>
      <c r="Q905" s="48">
        <f t="shared" si="293"/>
        <v>1556.5684704</v>
      </c>
      <c r="R905" s="41">
        <f t="shared" si="294"/>
        <v>2184.5178952608003</v>
      </c>
    </row>
    <row r="906" spans="2:19" x14ac:dyDescent="0.2">
      <c r="B906" s="61">
        <f>IF(F906&lt;&gt;"",1+MAX($B$21:B905),"")</f>
        <v>554</v>
      </c>
      <c r="C906" s="196"/>
      <c r="D906" s="73" t="s">
        <v>749</v>
      </c>
      <c r="E906" s="14" t="s">
        <v>79</v>
      </c>
      <c r="F906" s="19">
        <v>1</v>
      </c>
      <c r="G906" s="31">
        <v>210</v>
      </c>
      <c r="H906" s="12">
        <f t="shared" si="306"/>
        <v>199.92</v>
      </c>
      <c r="I906" s="12">
        <f t="shared" si="307"/>
        <v>199.92</v>
      </c>
      <c r="J906" s="32">
        <v>1.3280000000000001</v>
      </c>
      <c r="K906" s="7">
        <f t="shared" si="308"/>
        <v>1.3280000000000001</v>
      </c>
      <c r="L906" s="30" t="s">
        <v>1082</v>
      </c>
      <c r="M906" s="31">
        <v>61.3</v>
      </c>
      <c r="N906" s="48">
        <f t="shared" si="290"/>
        <v>44.810299999999998</v>
      </c>
      <c r="O906" s="48">
        <f t="shared" si="291"/>
        <v>59.508078400000002</v>
      </c>
      <c r="P906" s="48">
        <f t="shared" si="292"/>
        <v>59.508078400000002</v>
      </c>
      <c r="Q906" s="48">
        <f t="shared" si="293"/>
        <v>259.4280784</v>
      </c>
      <c r="R906" s="41">
        <f t="shared" si="294"/>
        <v>364.08631587679997</v>
      </c>
    </row>
    <row r="907" spans="2:19" x14ac:dyDescent="0.2">
      <c r="B907" s="61">
        <f>IF(F907&lt;&gt;"",1+MAX($B$21:B906),"")</f>
        <v>555</v>
      </c>
      <c r="C907" s="196"/>
      <c r="D907" s="73" t="s">
        <v>750</v>
      </c>
      <c r="E907" s="14" t="s">
        <v>79</v>
      </c>
      <c r="F907" s="19">
        <v>6</v>
      </c>
      <c r="G907" s="12">
        <v>15.55</v>
      </c>
      <c r="H907" s="12">
        <f t="shared" si="306"/>
        <v>14.803599999999999</v>
      </c>
      <c r="I907" s="12">
        <f t="shared" si="307"/>
        <v>88.821599999999989</v>
      </c>
      <c r="J907" s="11">
        <v>0.46500000000000002</v>
      </c>
      <c r="K907" s="7">
        <f t="shared" si="308"/>
        <v>2.79</v>
      </c>
      <c r="L907" s="30" t="s">
        <v>1082</v>
      </c>
      <c r="M907" s="31">
        <v>61.3</v>
      </c>
      <c r="N907" s="48">
        <f t="shared" si="290"/>
        <v>44.810299999999998</v>
      </c>
      <c r="O907" s="48">
        <f t="shared" si="291"/>
        <v>20.836789500000002</v>
      </c>
      <c r="P907" s="48">
        <f t="shared" si="292"/>
        <v>125.02073700000001</v>
      </c>
      <c r="Q907" s="48">
        <f t="shared" si="293"/>
        <v>213.84233699999999</v>
      </c>
      <c r="R907" s="41">
        <f t="shared" si="294"/>
        <v>302.43507393899995</v>
      </c>
    </row>
    <row r="908" spans="2:19" x14ac:dyDescent="0.2">
      <c r="B908" s="61">
        <f>IF(F908&lt;&gt;"",1+MAX($B$21:B907),"")</f>
        <v>556</v>
      </c>
      <c r="C908" s="196"/>
      <c r="D908" s="73" t="s">
        <v>751</v>
      </c>
      <c r="E908" s="14" t="s">
        <v>79</v>
      </c>
      <c r="F908" s="19">
        <v>2</v>
      </c>
      <c r="G908" s="48">
        <v>40</v>
      </c>
      <c r="H908" s="48">
        <f t="shared" si="306"/>
        <v>38.08</v>
      </c>
      <c r="I908" s="48">
        <f t="shared" si="307"/>
        <v>76.16</v>
      </c>
      <c r="J908" s="49">
        <v>0.64500000000000002</v>
      </c>
      <c r="K908" s="50">
        <f t="shared" si="308"/>
        <v>1.29</v>
      </c>
      <c r="L908" s="30" t="s">
        <v>1082</v>
      </c>
      <c r="M908" s="31">
        <v>61.3</v>
      </c>
      <c r="N908" s="48">
        <f t="shared" si="290"/>
        <v>44.810299999999998</v>
      </c>
      <c r="O908" s="48">
        <f t="shared" si="291"/>
        <v>28.9026435</v>
      </c>
      <c r="P908" s="48">
        <f t="shared" si="292"/>
        <v>57.805287</v>
      </c>
      <c r="Q908" s="48">
        <f t="shared" si="293"/>
        <v>133.96528699999999</v>
      </c>
      <c r="R908" s="41">
        <f t="shared" si="294"/>
        <v>188.83796854899995</v>
      </c>
    </row>
    <row r="909" spans="2:19" x14ac:dyDescent="0.2">
      <c r="B909" s="61">
        <f>IF(F909&lt;&gt;"",1+MAX($B$21:B908),"")</f>
        <v>557</v>
      </c>
      <c r="C909" s="196"/>
      <c r="D909" s="73" t="s">
        <v>752</v>
      </c>
      <c r="E909" s="14" t="s">
        <v>79</v>
      </c>
      <c r="F909" s="19">
        <v>1</v>
      </c>
      <c r="G909" s="48">
        <v>45</v>
      </c>
      <c r="H909" s="48">
        <f t="shared" si="306"/>
        <v>42.839999999999996</v>
      </c>
      <c r="I909" s="48">
        <f t="shared" si="307"/>
        <v>42.839999999999996</v>
      </c>
      <c r="J909" s="49">
        <v>0.64500000000000002</v>
      </c>
      <c r="K909" s="50">
        <f t="shared" si="308"/>
        <v>0.64500000000000002</v>
      </c>
      <c r="L909" s="30" t="s">
        <v>1082</v>
      </c>
      <c r="M909" s="31">
        <v>61.3</v>
      </c>
      <c r="N909" s="48">
        <f t="shared" si="290"/>
        <v>44.810299999999998</v>
      </c>
      <c r="O909" s="48">
        <f t="shared" si="291"/>
        <v>28.9026435</v>
      </c>
      <c r="P909" s="48">
        <f t="shared" si="292"/>
        <v>28.9026435</v>
      </c>
      <c r="Q909" s="48">
        <f t="shared" si="293"/>
        <v>71.7426435</v>
      </c>
      <c r="R909" s="41">
        <f t="shared" si="294"/>
        <v>101.06584827449998</v>
      </c>
    </row>
    <row r="910" spans="2:19" x14ac:dyDescent="0.2">
      <c r="B910" s="61">
        <f>IF(F910&lt;&gt;"",1+MAX($B$21:B909),"")</f>
        <v>558</v>
      </c>
      <c r="C910" s="196"/>
      <c r="D910" s="73" t="s">
        <v>753</v>
      </c>
      <c r="E910" s="14" t="s">
        <v>79</v>
      </c>
      <c r="F910" s="19">
        <v>1</v>
      </c>
      <c r="G910" s="31">
        <v>210</v>
      </c>
      <c r="H910" s="12">
        <f t="shared" si="306"/>
        <v>199.92</v>
      </c>
      <c r="I910" s="12">
        <f t="shared" si="307"/>
        <v>199.92</v>
      </c>
      <c r="J910" s="32">
        <v>1.3280000000000001</v>
      </c>
      <c r="K910" s="7">
        <f t="shared" si="308"/>
        <v>1.3280000000000001</v>
      </c>
      <c r="L910" s="30" t="s">
        <v>1082</v>
      </c>
      <c r="M910" s="31">
        <v>61.3</v>
      </c>
      <c r="N910" s="48">
        <f t="shared" si="290"/>
        <v>44.810299999999998</v>
      </c>
      <c r="O910" s="48">
        <f t="shared" si="291"/>
        <v>59.508078400000002</v>
      </c>
      <c r="P910" s="48">
        <f t="shared" si="292"/>
        <v>59.508078400000002</v>
      </c>
      <c r="Q910" s="48">
        <f t="shared" si="293"/>
        <v>259.4280784</v>
      </c>
      <c r="R910" s="41">
        <f t="shared" si="294"/>
        <v>364.08631587679997</v>
      </c>
    </row>
    <row r="911" spans="2:19" x14ac:dyDescent="0.2">
      <c r="B911" s="61">
        <f>IF(F911&lt;&gt;"",1+MAX($B$21:B910),"")</f>
        <v>559</v>
      </c>
      <c r="C911" s="196"/>
      <c r="D911" s="73" t="s">
        <v>754</v>
      </c>
      <c r="E911" s="14" t="s">
        <v>79</v>
      </c>
      <c r="F911" s="19">
        <v>3</v>
      </c>
      <c r="G911" s="31">
        <v>248</v>
      </c>
      <c r="H911" s="12">
        <f t="shared" si="306"/>
        <v>236.096</v>
      </c>
      <c r="I911" s="12">
        <f t="shared" si="307"/>
        <v>708.28800000000001</v>
      </c>
      <c r="J911" s="32">
        <v>1.3280000000000001</v>
      </c>
      <c r="K911" s="7">
        <f t="shared" si="308"/>
        <v>3.984</v>
      </c>
      <c r="L911" s="30" t="s">
        <v>1082</v>
      </c>
      <c r="M911" s="31">
        <v>61.3</v>
      </c>
      <c r="N911" s="48">
        <f t="shared" si="290"/>
        <v>44.810299999999998</v>
      </c>
      <c r="O911" s="48">
        <f t="shared" si="291"/>
        <v>59.508078400000002</v>
      </c>
      <c r="P911" s="48">
        <f t="shared" si="292"/>
        <v>178.52423520000002</v>
      </c>
      <c r="Q911" s="48">
        <f t="shared" si="293"/>
        <v>886.81223520000003</v>
      </c>
      <c r="R911" s="41">
        <f t="shared" si="294"/>
        <v>1243.8074468304001</v>
      </c>
    </row>
    <row r="912" spans="2:19" x14ac:dyDescent="0.2">
      <c r="B912" s="61">
        <f>IF(F912&lt;&gt;"",1+MAX($B$21:B911),"")</f>
        <v>560</v>
      </c>
      <c r="C912" s="196"/>
      <c r="D912" s="73" t="s">
        <v>755</v>
      </c>
      <c r="E912" s="14" t="s">
        <v>79</v>
      </c>
      <c r="F912" s="19">
        <v>1</v>
      </c>
      <c r="G912" s="12">
        <v>35.5</v>
      </c>
      <c r="H912" s="12">
        <f t="shared" si="306"/>
        <v>33.795999999999999</v>
      </c>
      <c r="I912" s="12">
        <f t="shared" si="307"/>
        <v>33.795999999999999</v>
      </c>
      <c r="J912" s="11">
        <v>0.54600000000000004</v>
      </c>
      <c r="K912" s="7">
        <f t="shared" si="308"/>
        <v>0.54600000000000004</v>
      </c>
      <c r="L912" s="30" t="s">
        <v>1082</v>
      </c>
      <c r="M912" s="31">
        <v>61.3</v>
      </c>
      <c r="N912" s="48">
        <f t="shared" si="290"/>
        <v>44.810299999999998</v>
      </c>
      <c r="O912" s="48">
        <f t="shared" si="291"/>
        <v>24.466423800000001</v>
      </c>
      <c r="P912" s="48">
        <f t="shared" si="292"/>
        <v>24.466423800000001</v>
      </c>
      <c r="Q912" s="48">
        <f t="shared" si="293"/>
        <v>58.262423800000001</v>
      </c>
      <c r="R912" s="41">
        <f t="shared" si="294"/>
        <v>82.106321162600011</v>
      </c>
    </row>
    <row r="913" spans="2:19" x14ac:dyDescent="0.2">
      <c r="B913" s="61">
        <f>IF(F913&lt;&gt;"",1+MAX($B$21:B912),"")</f>
        <v>561</v>
      </c>
      <c r="C913" s="196"/>
      <c r="D913" s="73" t="s">
        <v>756</v>
      </c>
      <c r="E913" s="14" t="s">
        <v>79</v>
      </c>
      <c r="F913" s="19">
        <v>3</v>
      </c>
      <c r="G913" s="48">
        <v>175</v>
      </c>
      <c r="H913" s="48">
        <f t="shared" si="306"/>
        <v>166.6</v>
      </c>
      <c r="I913" s="48">
        <f t="shared" si="307"/>
        <v>499.79999999999995</v>
      </c>
      <c r="J913" s="49">
        <v>1</v>
      </c>
      <c r="K913" s="50">
        <f t="shared" si="308"/>
        <v>3</v>
      </c>
      <c r="L913" s="30" t="s">
        <v>1082</v>
      </c>
      <c r="M913" s="31">
        <v>61.3</v>
      </c>
      <c r="N913" s="48">
        <f t="shared" si="290"/>
        <v>44.810299999999998</v>
      </c>
      <c r="O913" s="48">
        <f t="shared" si="291"/>
        <v>44.810299999999998</v>
      </c>
      <c r="P913" s="48">
        <f t="shared" si="292"/>
        <v>134.43090000000001</v>
      </c>
      <c r="Q913" s="48">
        <f t="shared" si="293"/>
        <v>634.23090000000002</v>
      </c>
      <c r="R913" s="41">
        <f t="shared" si="294"/>
        <v>889.75361429999998</v>
      </c>
    </row>
    <row r="914" spans="2:19" x14ac:dyDescent="0.2">
      <c r="B914" s="61">
        <f>IF(F914&lt;&gt;"",1+MAX($B$21:B913),"")</f>
        <v>562</v>
      </c>
      <c r="C914" s="196"/>
      <c r="D914" s="73" t="s">
        <v>757</v>
      </c>
      <c r="E914" s="14" t="s">
        <v>79</v>
      </c>
      <c r="F914" s="19">
        <v>2</v>
      </c>
      <c r="G914" s="48">
        <v>125</v>
      </c>
      <c r="H914" s="48">
        <f t="shared" si="306"/>
        <v>119</v>
      </c>
      <c r="I914" s="48">
        <f t="shared" si="307"/>
        <v>238</v>
      </c>
      <c r="J914" s="49">
        <v>1</v>
      </c>
      <c r="K914" s="50">
        <f t="shared" si="308"/>
        <v>2</v>
      </c>
      <c r="L914" s="30" t="s">
        <v>1082</v>
      </c>
      <c r="M914" s="31">
        <v>61.3</v>
      </c>
      <c r="N914" s="48">
        <f t="shared" si="290"/>
        <v>44.810299999999998</v>
      </c>
      <c r="O914" s="48">
        <f t="shared" si="291"/>
        <v>44.810299999999998</v>
      </c>
      <c r="P914" s="48">
        <f t="shared" si="292"/>
        <v>89.620599999999996</v>
      </c>
      <c r="Q914" s="48">
        <f t="shared" si="293"/>
        <v>327.62059999999997</v>
      </c>
      <c r="R914" s="41">
        <f t="shared" si="294"/>
        <v>460.23179620000002</v>
      </c>
    </row>
    <row r="915" spans="2:19" x14ac:dyDescent="0.2">
      <c r="B915" s="61">
        <f>IF(F915&lt;&gt;"",1+MAX($B$21:B914),"")</f>
        <v>563</v>
      </c>
      <c r="C915" s="196"/>
      <c r="D915" s="73" t="s">
        <v>758</v>
      </c>
      <c r="E915" s="14" t="s">
        <v>79</v>
      </c>
      <c r="F915" s="19">
        <v>3</v>
      </c>
      <c r="G915" s="12">
        <v>35.5</v>
      </c>
      <c r="H915" s="12">
        <f t="shared" si="306"/>
        <v>33.795999999999999</v>
      </c>
      <c r="I915" s="12">
        <f t="shared" si="307"/>
        <v>101.38800000000001</v>
      </c>
      <c r="J915" s="11">
        <v>0.54600000000000004</v>
      </c>
      <c r="K915" s="7">
        <f t="shared" si="308"/>
        <v>1.6380000000000001</v>
      </c>
      <c r="L915" s="30" t="s">
        <v>1082</v>
      </c>
      <c r="M915" s="31">
        <v>61.3</v>
      </c>
      <c r="N915" s="48">
        <f t="shared" si="290"/>
        <v>44.810299999999998</v>
      </c>
      <c r="O915" s="48">
        <f t="shared" si="291"/>
        <v>24.466423800000001</v>
      </c>
      <c r="P915" s="48">
        <f t="shared" si="292"/>
        <v>73.399271400000003</v>
      </c>
      <c r="Q915" s="48">
        <f t="shared" si="293"/>
        <v>174.78727140000001</v>
      </c>
      <c r="R915" s="41">
        <f t="shared" si="294"/>
        <v>246.31896348780003</v>
      </c>
    </row>
    <row r="916" spans="2:19" x14ac:dyDescent="0.2">
      <c r="B916" s="61">
        <f>IF(F916&lt;&gt;"",1+MAX($B$21:B915),"")</f>
        <v>564</v>
      </c>
      <c r="C916" s="196"/>
      <c r="D916" s="73" t="s">
        <v>759</v>
      </c>
      <c r="E916" s="14" t="s">
        <v>79</v>
      </c>
      <c r="F916" s="19">
        <v>2</v>
      </c>
      <c r="G916" s="12">
        <v>35.5</v>
      </c>
      <c r="H916" s="12">
        <f t="shared" si="306"/>
        <v>33.795999999999999</v>
      </c>
      <c r="I916" s="12">
        <f t="shared" si="307"/>
        <v>67.591999999999999</v>
      </c>
      <c r="J916" s="11">
        <v>0.54600000000000004</v>
      </c>
      <c r="K916" s="7">
        <f t="shared" si="308"/>
        <v>1.0920000000000001</v>
      </c>
      <c r="L916" s="30" t="s">
        <v>1082</v>
      </c>
      <c r="M916" s="31">
        <v>61.3</v>
      </c>
      <c r="N916" s="48">
        <f t="shared" si="290"/>
        <v>44.810299999999998</v>
      </c>
      <c r="O916" s="48">
        <f t="shared" si="291"/>
        <v>24.466423800000001</v>
      </c>
      <c r="P916" s="48">
        <f t="shared" si="292"/>
        <v>48.932847600000002</v>
      </c>
      <c r="Q916" s="48">
        <f t="shared" si="293"/>
        <v>116.5248476</v>
      </c>
      <c r="R916" s="41">
        <f t="shared" si="294"/>
        <v>164.21264232520002</v>
      </c>
    </row>
    <row r="917" spans="2:19" x14ac:dyDescent="0.2">
      <c r="B917" s="61">
        <f>IF(F917&lt;&gt;"",1+MAX($B$21:B916),"")</f>
        <v>565</v>
      </c>
      <c r="C917" s="196"/>
      <c r="D917" s="73" t="s">
        <v>760</v>
      </c>
      <c r="E917" s="14" t="s">
        <v>79</v>
      </c>
      <c r="F917" s="19">
        <v>2</v>
      </c>
      <c r="G917" s="12">
        <v>15.55</v>
      </c>
      <c r="H917" s="12">
        <f t="shared" si="306"/>
        <v>14.803599999999999</v>
      </c>
      <c r="I917" s="12">
        <f t="shared" si="307"/>
        <v>29.607199999999999</v>
      </c>
      <c r="J917" s="11">
        <v>0.46500000000000002</v>
      </c>
      <c r="K917" s="7">
        <f t="shared" si="308"/>
        <v>0.93</v>
      </c>
      <c r="L917" s="30" t="s">
        <v>1082</v>
      </c>
      <c r="M917" s="31">
        <v>61.3</v>
      </c>
      <c r="N917" s="48">
        <f t="shared" si="290"/>
        <v>44.810299999999998</v>
      </c>
      <c r="O917" s="48">
        <f t="shared" si="291"/>
        <v>20.836789500000002</v>
      </c>
      <c r="P917" s="48">
        <f t="shared" si="292"/>
        <v>41.673579000000004</v>
      </c>
      <c r="Q917" s="48">
        <f t="shared" si="293"/>
        <v>71.280778999999995</v>
      </c>
      <c r="R917" s="41">
        <f t="shared" si="294"/>
        <v>100.81169131299998</v>
      </c>
    </row>
    <row r="918" spans="2:19" x14ac:dyDescent="0.2">
      <c r="B918" s="61">
        <f>IF(F918&lt;&gt;"",1+MAX($B$21:B917),"")</f>
        <v>566</v>
      </c>
      <c r="C918" s="196"/>
      <c r="D918" s="73" t="s">
        <v>761</v>
      </c>
      <c r="E918" s="14" t="s">
        <v>79</v>
      </c>
      <c r="F918" s="19">
        <v>1</v>
      </c>
      <c r="G918" s="48">
        <v>125</v>
      </c>
      <c r="H918" s="48">
        <f t="shared" si="306"/>
        <v>119</v>
      </c>
      <c r="I918" s="48">
        <f t="shared" si="307"/>
        <v>119</v>
      </c>
      <c r="J918" s="49">
        <v>1</v>
      </c>
      <c r="K918" s="50">
        <f t="shared" si="308"/>
        <v>1</v>
      </c>
      <c r="L918" s="30" t="s">
        <v>1082</v>
      </c>
      <c r="M918" s="31">
        <v>61.3</v>
      </c>
      <c r="N918" s="48">
        <f t="shared" si="290"/>
        <v>44.810299999999998</v>
      </c>
      <c r="O918" s="48">
        <f t="shared" si="291"/>
        <v>44.810299999999998</v>
      </c>
      <c r="P918" s="48">
        <f t="shared" si="292"/>
        <v>44.810299999999998</v>
      </c>
      <c r="Q918" s="48">
        <f t="shared" si="293"/>
        <v>163.81029999999998</v>
      </c>
      <c r="R918" s="41">
        <f t="shared" si="294"/>
        <v>230.11589810000001</v>
      </c>
    </row>
    <row r="919" spans="2:19" x14ac:dyDescent="0.2">
      <c r="B919" s="61">
        <f>IF(F919&lt;&gt;"",1+MAX($B$21:B918),"")</f>
        <v>567</v>
      </c>
      <c r="C919" s="196"/>
      <c r="D919" s="73" t="s">
        <v>762</v>
      </c>
      <c r="E919" s="14" t="s">
        <v>79</v>
      </c>
      <c r="F919" s="19">
        <v>1</v>
      </c>
      <c r="G919" s="48">
        <v>200</v>
      </c>
      <c r="H919" s="48">
        <f t="shared" si="306"/>
        <v>190.39999999999998</v>
      </c>
      <c r="I919" s="48">
        <f t="shared" si="307"/>
        <v>190.39999999999998</v>
      </c>
      <c r="J919" s="49">
        <v>1.25</v>
      </c>
      <c r="K919" s="50">
        <f t="shared" si="308"/>
        <v>1.25</v>
      </c>
      <c r="L919" s="30" t="s">
        <v>1082</v>
      </c>
      <c r="M919" s="31">
        <v>61.3</v>
      </c>
      <c r="N919" s="48">
        <f t="shared" si="290"/>
        <v>44.810299999999998</v>
      </c>
      <c r="O919" s="48">
        <f t="shared" si="291"/>
        <v>56.012874999999994</v>
      </c>
      <c r="P919" s="48">
        <f t="shared" si="292"/>
        <v>56.012874999999994</v>
      </c>
      <c r="Q919" s="48">
        <f t="shared" si="293"/>
        <v>246.41287499999999</v>
      </c>
      <c r="R919" s="41">
        <f t="shared" si="294"/>
        <v>345.80493262499994</v>
      </c>
    </row>
    <row r="920" spans="2:19" x14ac:dyDescent="0.2">
      <c r="B920" s="61">
        <f>IF(F920&lt;&gt;"",1+MAX($B$21:B919),"")</f>
        <v>568</v>
      </c>
      <c r="C920" s="196"/>
      <c r="D920" s="73" t="s">
        <v>763</v>
      </c>
      <c r="E920" s="14" t="s">
        <v>79</v>
      </c>
      <c r="F920" s="19">
        <v>4</v>
      </c>
      <c r="G920" s="48">
        <v>150</v>
      </c>
      <c r="H920" s="48">
        <f t="shared" si="306"/>
        <v>142.79999999999998</v>
      </c>
      <c r="I920" s="48">
        <f t="shared" si="307"/>
        <v>571.19999999999993</v>
      </c>
      <c r="J920" s="49">
        <v>1</v>
      </c>
      <c r="K920" s="50">
        <f t="shared" si="308"/>
        <v>4</v>
      </c>
      <c r="L920" s="30" t="s">
        <v>1082</v>
      </c>
      <c r="M920" s="31">
        <v>61.3</v>
      </c>
      <c r="N920" s="48">
        <f t="shared" si="290"/>
        <v>44.810299999999998</v>
      </c>
      <c r="O920" s="48">
        <f t="shared" si="291"/>
        <v>44.810299999999998</v>
      </c>
      <c r="P920" s="48">
        <f t="shared" si="292"/>
        <v>179.24119999999999</v>
      </c>
      <c r="Q920" s="48">
        <f t="shared" si="293"/>
        <v>750.44119999999998</v>
      </c>
      <c r="R920" s="41">
        <f t="shared" si="294"/>
        <v>1053.4008724</v>
      </c>
    </row>
    <row r="921" spans="2:19" x14ac:dyDescent="0.2">
      <c r="B921" s="61">
        <f>IF(F921&lt;&gt;"",1+MAX($B$21:B920),"")</f>
        <v>569</v>
      </c>
      <c r="C921" s="196"/>
      <c r="D921" s="73" t="s">
        <v>764</v>
      </c>
      <c r="E921" s="14" t="s">
        <v>79</v>
      </c>
      <c r="F921" s="19">
        <v>1</v>
      </c>
      <c r="G921" s="205"/>
      <c r="H921" s="205">
        <f t="shared" si="306"/>
        <v>0</v>
      </c>
      <c r="I921" s="205">
        <f t="shared" si="307"/>
        <v>0</v>
      </c>
      <c r="J921" s="49">
        <v>1</v>
      </c>
      <c r="K921" s="50">
        <f t="shared" si="308"/>
        <v>1</v>
      </c>
      <c r="L921" s="30" t="s">
        <v>1082</v>
      </c>
      <c r="M921" s="31">
        <v>61.3</v>
      </c>
      <c r="N921" s="48">
        <f t="shared" si="290"/>
        <v>44.810299999999998</v>
      </c>
      <c r="O921" s="48">
        <f t="shared" si="291"/>
        <v>44.810299999999998</v>
      </c>
      <c r="P921" s="48">
        <f t="shared" si="292"/>
        <v>44.810299999999998</v>
      </c>
      <c r="Q921" s="48">
        <f t="shared" si="293"/>
        <v>44.810299999999998</v>
      </c>
      <c r="R921" s="41">
        <f t="shared" si="294"/>
        <v>63.944298099999997</v>
      </c>
    </row>
    <row r="922" spans="2:19" x14ac:dyDescent="0.2">
      <c r="B922" s="61">
        <f>IF(F922&lt;&gt;"",1+MAX($B$21:B921),"")</f>
        <v>570</v>
      </c>
      <c r="C922" s="197"/>
      <c r="D922" s="73" t="s">
        <v>846</v>
      </c>
      <c r="E922" s="14" t="s">
        <v>79</v>
      </c>
      <c r="F922" s="19">
        <v>1</v>
      </c>
      <c r="G922" s="48">
        <v>125</v>
      </c>
      <c r="H922" s="48">
        <f t="shared" si="306"/>
        <v>119</v>
      </c>
      <c r="I922" s="48">
        <f t="shared" si="307"/>
        <v>119</v>
      </c>
      <c r="J922" s="49">
        <v>1</v>
      </c>
      <c r="K922" s="50">
        <f t="shared" si="308"/>
        <v>1</v>
      </c>
      <c r="L922" s="30" t="s">
        <v>1082</v>
      </c>
      <c r="M922" s="31">
        <v>61.3</v>
      </c>
      <c r="N922" s="48">
        <f t="shared" si="290"/>
        <v>44.810299999999998</v>
      </c>
      <c r="O922" s="48">
        <f t="shared" si="291"/>
        <v>44.810299999999998</v>
      </c>
      <c r="P922" s="48">
        <f t="shared" si="292"/>
        <v>44.810299999999998</v>
      </c>
      <c r="Q922" s="48">
        <f t="shared" si="293"/>
        <v>163.81029999999998</v>
      </c>
      <c r="R922" s="41">
        <f t="shared" si="294"/>
        <v>230.11589810000001</v>
      </c>
      <c r="S922" s="9"/>
    </row>
    <row r="923" spans="2:19" x14ac:dyDescent="0.2">
      <c r="B923" s="61" t="str">
        <f>IF(F923&lt;&gt;"",1+MAX($B$21:B922),"")</f>
        <v/>
      </c>
      <c r="C923" s="67"/>
      <c r="D923" s="73"/>
      <c r="E923" s="14"/>
      <c r="F923" s="19"/>
      <c r="G923" s="48"/>
      <c r="H923" s="48">
        <f t="shared" si="306"/>
        <v>0</v>
      </c>
      <c r="I923" s="48">
        <f t="shared" si="307"/>
        <v>0</v>
      </c>
      <c r="J923" s="49"/>
      <c r="K923" s="50">
        <f t="shared" si="308"/>
        <v>0</v>
      </c>
      <c r="L923" s="50"/>
      <c r="M923" s="48"/>
      <c r="N923" s="48">
        <f t="shared" si="290"/>
        <v>0</v>
      </c>
      <c r="O923" s="48">
        <f t="shared" si="291"/>
        <v>0</v>
      </c>
      <c r="P923" s="48">
        <f t="shared" si="292"/>
        <v>0</v>
      </c>
      <c r="Q923" s="48">
        <f t="shared" si="293"/>
        <v>0</v>
      </c>
      <c r="R923" s="41">
        <f t="shared" si="294"/>
        <v>0</v>
      </c>
    </row>
    <row r="924" spans="2:19" x14ac:dyDescent="0.2">
      <c r="B924" s="62" t="str">
        <f>IF(F924&lt;&gt;"",1+MAX($B$21:B923),"")</f>
        <v/>
      </c>
      <c r="C924" s="68"/>
      <c r="D924" s="74" t="s">
        <v>144</v>
      </c>
      <c r="E924" s="14"/>
      <c r="F924" s="19"/>
      <c r="G924" s="48"/>
      <c r="H924" s="48">
        <f t="shared" si="306"/>
        <v>0</v>
      </c>
      <c r="I924" s="48">
        <f t="shared" si="307"/>
        <v>0</v>
      </c>
      <c r="J924" s="49"/>
      <c r="K924" s="50">
        <f t="shared" si="308"/>
        <v>0</v>
      </c>
      <c r="L924" s="50"/>
      <c r="M924" s="48"/>
      <c r="N924" s="48">
        <f t="shared" si="290"/>
        <v>0</v>
      </c>
      <c r="O924" s="48">
        <f t="shared" si="291"/>
        <v>0</v>
      </c>
      <c r="P924" s="48">
        <f t="shared" si="292"/>
        <v>0</v>
      </c>
      <c r="Q924" s="48">
        <f t="shared" si="293"/>
        <v>0</v>
      </c>
      <c r="R924" s="41">
        <f t="shared" si="294"/>
        <v>0</v>
      </c>
    </row>
    <row r="925" spans="2:19" x14ac:dyDescent="0.2">
      <c r="B925" s="61">
        <f>IF(F925&lt;&gt;"",1+MAX($B$21:B924),"")</f>
        <v>571</v>
      </c>
      <c r="C925" s="198" t="s">
        <v>861</v>
      </c>
      <c r="D925" s="73" t="s">
        <v>745</v>
      </c>
      <c r="E925" s="14" t="s">
        <v>79</v>
      </c>
      <c r="F925" s="19">
        <v>15</v>
      </c>
      <c r="G925" s="31">
        <v>22.5</v>
      </c>
      <c r="H925" s="12">
        <f t="shared" si="306"/>
        <v>21.419999999999998</v>
      </c>
      <c r="I925" s="12">
        <f t="shared" si="307"/>
        <v>321.29999999999995</v>
      </c>
      <c r="J925" s="32">
        <v>0.46500000000000002</v>
      </c>
      <c r="K925" s="7">
        <f t="shared" si="308"/>
        <v>6.9750000000000005</v>
      </c>
      <c r="L925" s="30" t="s">
        <v>1082</v>
      </c>
      <c r="M925" s="31">
        <v>61.3</v>
      </c>
      <c r="N925" s="48">
        <f t="shared" si="290"/>
        <v>44.810299999999998</v>
      </c>
      <c r="O925" s="48">
        <f t="shared" si="291"/>
        <v>20.836789500000002</v>
      </c>
      <c r="P925" s="48">
        <f t="shared" si="292"/>
        <v>312.55184250000002</v>
      </c>
      <c r="Q925" s="48">
        <f t="shared" si="293"/>
        <v>633.85184249999998</v>
      </c>
      <c r="R925" s="41">
        <f t="shared" si="294"/>
        <v>894.6747992475</v>
      </c>
    </row>
    <row r="926" spans="2:19" x14ac:dyDescent="0.2">
      <c r="B926" s="61">
        <f>IF(F926&lt;&gt;"",1+MAX($B$21:B925),"")</f>
        <v>572</v>
      </c>
      <c r="C926" s="196"/>
      <c r="D926" s="73" t="s">
        <v>746</v>
      </c>
      <c r="E926" s="14" t="s">
        <v>79</v>
      </c>
      <c r="F926" s="19">
        <v>1</v>
      </c>
      <c r="G926" s="31">
        <v>22.5</v>
      </c>
      <c r="H926" s="12">
        <f t="shared" si="306"/>
        <v>21.419999999999998</v>
      </c>
      <c r="I926" s="12">
        <f t="shared" si="307"/>
        <v>21.419999999999998</v>
      </c>
      <c r="J926" s="32">
        <v>0.46500000000000002</v>
      </c>
      <c r="K926" s="7">
        <f t="shared" si="308"/>
        <v>0.46500000000000002</v>
      </c>
      <c r="L926" s="30" t="s">
        <v>1082</v>
      </c>
      <c r="M926" s="31">
        <v>61.3</v>
      </c>
      <c r="N926" s="48">
        <f t="shared" si="290"/>
        <v>44.810299999999998</v>
      </c>
      <c r="O926" s="48">
        <f t="shared" si="291"/>
        <v>20.836789500000002</v>
      </c>
      <c r="P926" s="48">
        <f t="shared" si="292"/>
        <v>20.836789500000002</v>
      </c>
      <c r="Q926" s="48">
        <f t="shared" si="293"/>
        <v>42.256789499999996</v>
      </c>
      <c r="R926" s="41">
        <f t="shared" si="294"/>
        <v>59.644986616499999</v>
      </c>
    </row>
    <row r="927" spans="2:19" x14ac:dyDescent="0.2">
      <c r="B927" s="61">
        <f>IF(F927&lt;&gt;"",1+MAX($B$21:B926),"")</f>
        <v>573</v>
      </c>
      <c r="C927" s="197"/>
      <c r="D927" s="73" t="s">
        <v>747</v>
      </c>
      <c r="E927" s="14" t="s">
        <v>79</v>
      </c>
      <c r="F927" s="19">
        <v>1</v>
      </c>
      <c r="G927" s="31">
        <v>22.5</v>
      </c>
      <c r="H927" s="12">
        <f t="shared" si="306"/>
        <v>21.419999999999998</v>
      </c>
      <c r="I927" s="12">
        <f t="shared" si="307"/>
        <v>21.419999999999998</v>
      </c>
      <c r="J927" s="32">
        <v>0.46500000000000002</v>
      </c>
      <c r="K927" s="7">
        <f t="shared" si="308"/>
        <v>0.46500000000000002</v>
      </c>
      <c r="L927" s="30" t="s">
        <v>1082</v>
      </c>
      <c r="M927" s="31">
        <v>61.3</v>
      </c>
      <c r="N927" s="48">
        <f t="shared" si="290"/>
        <v>44.810299999999998</v>
      </c>
      <c r="O927" s="48">
        <f t="shared" si="291"/>
        <v>20.836789500000002</v>
      </c>
      <c r="P927" s="48">
        <f t="shared" si="292"/>
        <v>20.836789500000002</v>
      </c>
      <c r="Q927" s="48">
        <f t="shared" si="293"/>
        <v>42.256789499999996</v>
      </c>
      <c r="R927" s="41">
        <f t="shared" si="294"/>
        <v>59.644986616499999</v>
      </c>
    </row>
    <row r="928" spans="2:19" x14ac:dyDescent="0.2">
      <c r="B928" s="61" t="str">
        <f>IF(F928&lt;&gt;"",1+MAX($B$21:B927),"")</f>
        <v/>
      </c>
      <c r="C928" s="67"/>
      <c r="D928" s="73"/>
      <c r="E928" s="14"/>
      <c r="F928" s="19"/>
      <c r="G928" s="48"/>
      <c r="H928" s="48">
        <f t="shared" si="306"/>
        <v>0</v>
      </c>
      <c r="I928" s="48">
        <f t="shared" si="307"/>
        <v>0</v>
      </c>
      <c r="J928" s="49"/>
      <c r="K928" s="50">
        <f t="shared" si="308"/>
        <v>0</v>
      </c>
      <c r="L928" s="50"/>
      <c r="M928" s="48"/>
      <c r="N928" s="48">
        <f t="shared" si="290"/>
        <v>0</v>
      </c>
      <c r="O928" s="48">
        <f t="shared" si="291"/>
        <v>0</v>
      </c>
      <c r="P928" s="48">
        <f t="shared" si="292"/>
        <v>0</v>
      </c>
      <c r="Q928" s="48">
        <f t="shared" si="293"/>
        <v>0</v>
      </c>
      <c r="R928" s="41">
        <f t="shared" si="294"/>
        <v>0</v>
      </c>
    </row>
    <row r="929" spans="2:18" x14ac:dyDescent="0.2">
      <c r="B929" s="62" t="str">
        <f>IF(F929&lt;&gt;"",1+MAX($B$21:B928),"")</f>
        <v/>
      </c>
      <c r="C929" s="68"/>
      <c r="D929" s="74" t="s">
        <v>145</v>
      </c>
      <c r="E929" s="14"/>
      <c r="F929" s="19"/>
      <c r="G929" s="48"/>
      <c r="H929" s="48">
        <f t="shared" si="306"/>
        <v>0</v>
      </c>
      <c r="I929" s="48">
        <f t="shared" si="307"/>
        <v>0</v>
      </c>
      <c r="J929" s="49"/>
      <c r="K929" s="50">
        <f t="shared" si="308"/>
        <v>0</v>
      </c>
      <c r="L929" s="50"/>
      <c r="M929" s="48"/>
      <c r="N929" s="48">
        <f t="shared" si="290"/>
        <v>0</v>
      </c>
      <c r="O929" s="48">
        <f t="shared" si="291"/>
        <v>0</v>
      </c>
      <c r="P929" s="48">
        <f t="shared" si="292"/>
        <v>0</v>
      </c>
      <c r="Q929" s="48">
        <f t="shared" si="293"/>
        <v>0</v>
      </c>
      <c r="R929" s="41">
        <f t="shared" si="294"/>
        <v>0</v>
      </c>
    </row>
    <row r="930" spans="2:18" x14ac:dyDescent="0.2">
      <c r="B930" s="61">
        <f>IF(F930&lt;&gt;"",1+MAX($B$21:B929),"")</f>
        <v>574</v>
      </c>
      <c r="C930" s="198" t="s">
        <v>861</v>
      </c>
      <c r="D930" s="73" t="s">
        <v>145</v>
      </c>
      <c r="E930" s="14" t="s">
        <v>79</v>
      </c>
      <c r="F930" s="19">
        <v>10</v>
      </c>
      <c r="G930" s="31">
        <v>78</v>
      </c>
      <c r="H930" s="12">
        <f t="shared" si="306"/>
        <v>74.256</v>
      </c>
      <c r="I930" s="12">
        <f t="shared" si="307"/>
        <v>742.56</v>
      </c>
      <c r="J930" s="32">
        <v>0.65</v>
      </c>
      <c r="K930" s="7">
        <f t="shared" si="308"/>
        <v>6.5</v>
      </c>
      <c r="L930" s="30" t="s">
        <v>1082</v>
      </c>
      <c r="M930" s="31">
        <v>61.3</v>
      </c>
      <c r="N930" s="48">
        <f t="shared" si="290"/>
        <v>44.810299999999998</v>
      </c>
      <c r="O930" s="48">
        <f t="shared" si="291"/>
        <v>29.126694999999998</v>
      </c>
      <c r="P930" s="48">
        <f t="shared" si="292"/>
        <v>291.26694999999995</v>
      </c>
      <c r="Q930" s="48">
        <f t="shared" si="293"/>
        <v>1033.8269499999999</v>
      </c>
      <c r="R930" s="41">
        <f t="shared" si="294"/>
        <v>1452.5487216499996</v>
      </c>
    </row>
    <row r="931" spans="2:18" x14ac:dyDescent="0.2">
      <c r="B931" s="61">
        <f>IF(F931&lt;&gt;"",1+MAX($B$21:B930),"")</f>
        <v>575</v>
      </c>
      <c r="C931" s="196"/>
      <c r="D931" s="73" t="s">
        <v>767</v>
      </c>
      <c r="E931" s="14" t="s">
        <v>79</v>
      </c>
      <c r="F931" s="19">
        <v>2</v>
      </c>
      <c r="G931" s="31">
        <v>82</v>
      </c>
      <c r="H931" s="12">
        <f t="shared" si="306"/>
        <v>78.063999999999993</v>
      </c>
      <c r="I931" s="12">
        <f t="shared" si="307"/>
        <v>156.12799999999999</v>
      </c>
      <c r="J931" s="32">
        <v>0.65</v>
      </c>
      <c r="K931" s="7">
        <f t="shared" si="308"/>
        <v>1.3</v>
      </c>
      <c r="L931" s="30" t="s">
        <v>1082</v>
      </c>
      <c r="M931" s="31">
        <v>61.3</v>
      </c>
      <c r="N931" s="48">
        <f t="shared" si="290"/>
        <v>44.810299999999998</v>
      </c>
      <c r="O931" s="48">
        <f t="shared" si="291"/>
        <v>29.126694999999998</v>
      </c>
      <c r="P931" s="48">
        <f t="shared" si="292"/>
        <v>58.253389999999996</v>
      </c>
      <c r="Q931" s="48">
        <f t="shared" si="293"/>
        <v>214.38138999999998</v>
      </c>
      <c r="R931" s="41">
        <f t="shared" si="294"/>
        <v>301.14472672999995</v>
      </c>
    </row>
    <row r="932" spans="2:18" x14ac:dyDescent="0.2">
      <c r="B932" s="61">
        <f>IF(F932&lt;&gt;"",1+MAX($B$21:B931),"")</f>
        <v>576</v>
      </c>
      <c r="C932" s="196"/>
      <c r="D932" s="73" t="s">
        <v>768</v>
      </c>
      <c r="E932" s="14" t="s">
        <v>79</v>
      </c>
      <c r="F932" s="19">
        <v>1</v>
      </c>
      <c r="G932" s="31">
        <v>78</v>
      </c>
      <c r="H932" s="12">
        <f t="shared" si="306"/>
        <v>74.256</v>
      </c>
      <c r="I932" s="12">
        <f t="shared" si="307"/>
        <v>74.256</v>
      </c>
      <c r="J932" s="32">
        <v>0.65</v>
      </c>
      <c r="K932" s="7">
        <f t="shared" si="308"/>
        <v>0.65</v>
      </c>
      <c r="L932" s="30" t="s">
        <v>1082</v>
      </c>
      <c r="M932" s="31">
        <v>61.3</v>
      </c>
      <c r="N932" s="48">
        <f t="shared" si="290"/>
        <v>44.810299999999998</v>
      </c>
      <c r="O932" s="48">
        <f t="shared" si="291"/>
        <v>29.126694999999998</v>
      </c>
      <c r="P932" s="48">
        <f t="shared" si="292"/>
        <v>29.126694999999998</v>
      </c>
      <c r="Q932" s="48">
        <f t="shared" si="293"/>
        <v>103.382695</v>
      </c>
      <c r="R932" s="41">
        <f t="shared" si="294"/>
        <v>145.25487216499999</v>
      </c>
    </row>
    <row r="933" spans="2:18" x14ac:dyDescent="0.2">
      <c r="B933" s="61">
        <f>IF(F933&lt;&gt;"",1+MAX($B$21:B932),"")</f>
        <v>577</v>
      </c>
      <c r="C933" s="196"/>
      <c r="D933" s="73" t="s">
        <v>769</v>
      </c>
      <c r="E933" s="14" t="s">
        <v>79</v>
      </c>
      <c r="F933" s="19">
        <v>1</v>
      </c>
      <c r="G933" s="31">
        <v>92</v>
      </c>
      <c r="H933" s="12">
        <f t="shared" si="306"/>
        <v>87.584000000000003</v>
      </c>
      <c r="I933" s="12">
        <f t="shared" si="307"/>
        <v>87.584000000000003</v>
      </c>
      <c r="J933" s="32">
        <v>0.65</v>
      </c>
      <c r="K933" s="7">
        <f t="shared" si="308"/>
        <v>0.65</v>
      </c>
      <c r="L933" s="30" t="s">
        <v>1082</v>
      </c>
      <c r="M933" s="31">
        <v>61.3</v>
      </c>
      <c r="N933" s="48">
        <f t="shared" si="290"/>
        <v>44.810299999999998</v>
      </c>
      <c r="O933" s="48">
        <f t="shared" si="291"/>
        <v>29.126694999999998</v>
      </c>
      <c r="P933" s="48">
        <f t="shared" si="292"/>
        <v>29.126694999999998</v>
      </c>
      <c r="Q933" s="48">
        <f t="shared" si="293"/>
        <v>116.710695</v>
      </c>
      <c r="R933" s="41">
        <f t="shared" si="294"/>
        <v>163.86609136499999</v>
      </c>
    </row>
    <row r="934" spans="2:18" x14ac:dyDescent="0.2">
      <c r="B934" s="61">
        <f>IF(F934&lt;&gt;"",1+MAX($B$21:B933),"")</f>
        <v>578</v>
      </c>
      <c r="C934" s="197"/>
      <c r="D934" s="73" t="s">
        <v>770</v>
      </c>
      <c r="E934" s="14" t="s">
        <v>79</v>
      </c>
      <c r="F934" s="19">
        <v>6</v>
      </c>
      <c r="G934" s="31">
        <v>82</v>
      </c>
      <c r="H934" s="12">
        <f t="shared" si="306"/>
        <v>78.063999999999993</v>
      </c>
      <c r="I934" s="12">
        <f t="shared" si="307"/>
        <v>468.38399999999996</v>
      </c>
      <c r="J934" s="32">
        <v>0.65</v>
      </c>
      <c r="K934" s="7">
        <f t="shared" si="308"/>
        <v>3.9000000000000004</v>
      </c>
      <c r="L934" s="30" t="s">
        <v>1082</v>
      </c>
      <c r="M934" s="31">
        <v>61.3</v>
      </c>
      <c r="N934" s="48">
        <f t="shared" si="290"/>
        <v>44.810299999999998</v>
      </c>
      <c r="O934" s="48">
        <f t="shared" si="291"/>
        <v>29.126694999999998</v>
      </c>
      <c r="P934" s="48">
        <f t="shared" si="292"/>
        <v>174.76016999999999</v>
      </c>
      <c r="Q934" s="48">
        <f t="shared" si="293"/>
        <v>643.14416999999992</v>
      </c>
      <c r="R934" s="41">
        <f t="shared" si="294"/>
        <v>903.43418018999989</v>
      </c>
    </row>
    <row r="935" spans="2:18" x14ac:dyDescent="0.2">
      <c r="B935" s="61" t="str">
        <f>IF(F935&lt;&gt;"",1+MAX($B$21:B934),"")</f>
        <v/>
      </c>
      <c r="C935" s="67"/>
      <c r="D935" s="73"/>
      <c r="E935" s="14"/>
      <c r="F935" s="19"/>
      <c r="G935" s="48"/>
      <c r="H935" s="48">
        <f t="shared" si="306"/>
        <v>0</v>
      </c>
      <c r="I935" s="48">
        <f t="shared" si="307"/>
        <v>0</v>
      </c>
      <c r="J935" s="49"/>
      <c r="K935" s="50">
        <f t="shared" si="308"/>
        <v>0</v>
      </c>
      <c r="L935" s="50"/>
      <c r="M935" s="48"/>
      <c r="N935" s="48">
        <f t="shared" si="290"/>
        <v>0</v>
      </c>
      <c r="O935" s="48">
        <f t="shared" si="291"/>
        <v>0</v>
      </c>
      <c r="P935" s="48">
        <f t="shared" si="292"/>
        <v>0</v>
      </c>
      <c r="Q935" s="48">
        <f t="shared" si="293"/>
        <v>0</v>
      </c>
      <c r="R935" s="41">
        <f t="shared" si="294"/>
        <v>0</v>
      </c>
    </row>
    <row r="936" spans="2:18" x14ac:dyDescent="0.2">
      <c r="B936" s="62" t="str">
        <f>IF(F936&lt;&gt;"",1+MAX($B$21:B935),"")</f>
        <v/>
      </c>
      <c r="C936" s="68"/>
      <c r="D936" s="74" t="s">
        <v>600</v>
      </c>
      <c r="E936" s="14"/>
      <c r="F936" s="19"/>
      <c r="G936" s="48"/>
      <c r="H936" s="48">
        <f t="shared" si="306"/>
        <v>0</v>
      </c>
      <c r="I936" s="48">
        <f t="shared" si="307"/>
        <v>0</v>
      </c>
      <c r="J936" s="49"/>
      <c r="K936" s="50">
        <f t="shared" si="308"/>
        <v>0</v>
      </c>
      <c r="L936" s="50"/>
      <c r="M936" s="48"/>
      <c r="N936" s="48">
        <f t="shared" si="290"/>
        <v>0</v>
      </c>
      <c r="O936" s="48">
        <f t="shared" si="291"/>
        <v>0</v>
      </c>
      <c r="P936" s="48">
        <f t="shared" si="292"/>
        <v>0</v>
      </c>
      <c r="Q936" s="48">
        <f t="shared" si="293"/>
        <v>0</v>
      </c>
      <c r="R936" s="41">
        <f t="shared" si="294"/>
        <v>0</v>
      </c>
    </row>
    <row r="937" spans="2:18" x14ac:dyDescent="0.2">
      <c r="B937" s="61">
        <f>IF(F937&lt;&gt;"",1+MAX($B$21:B936),"")</f>
        <v>579</v>
      </c>
      <c r="C937" s="198" t="s">
        <v>861</v>
      </c>
      <c r="D937" s="73" t="s">
        <v>765</v>
      </c>
      <c r="E937" s="14" t="s">
        <v>79</v>
      </c>
      <c r="F937" s="19">
        <v>6</v>
      </c>
      <c r="G937" s="12">
        <v>105</v>
      </c>
      <c r="H937" s="12">
        <f t="shared" si="306"/>
        <v>99.96</v>
      </c>
      <c r="I937" s="12">
        <f t="shared" si="307"/>
        <v>599.76</v>
      </c>
      <c r="J937" s="11">
        <v>1.1419999999999999</v>
      </c>
      <c r="K937" s="7">
        <f t="shared" si="308"/>
        <v>6.8519999999999994</v>
      </c>
      <c r="L937" s="28" t="s">
        <v>1082</v>
      </c>
      <c r="M937" s="29">
        <v>61.3</v>
      </c>
      <c r="N937" s="48">
        <f t="shared" si="290"/>
        <v>44.810299999999998</v>
      </c>
      <c r="O937" s="48">
        <f t="shared" si="291"/>
        <v>51.17336259999999</v>
      </c>
      <c r="P937" s="48">
        <f t="shared" si="292"/>
        <v>307.04017559999994</v>
      </c>
      <c r="Q937" s="48">
        <f t="shared" si="293"/>
        <v>906.80017559999987</v>
      </c>
      <c r="R937" s="41">
        <f t="shared" si="294"/>
        <v>1275.6511945811999</v>
      </c>
    </row>
    <row r="938" spans="2:18" x14ac:dyDescent="0.2">
      <c r="B938" s="61">
        <f>IF(F938&lt;&gt;"",1+MAX($B$21:B937),"")</f>
        <v>580</v>
      </c>
      <c r="C938" s="197"/>
      <c r="D938" s="73" t="s">
        <v>766</v>
      </c>
      <c r="E938" s="14" t="s">
        <v>79</v>
      </c>
      <c r="F938" s="19">
        <v>10</v>
      </c>
      <c r="G938" s="12">
        <v>75</v>
      </c>
      <c r="H938" s="12">
        <f t="shared" si="306"/>
        <v>71.399999999999991</v>
      </c>
      <c r="I938" s="12">
        <f t="shared" si="307"/>
        <v>713.99999999999989</v>
      </c>
      <c r="J938" s="11">
        <v>1.1419999999999999</v>
      </c>
      <c r="K938" s="7">
        <f t="shared" si="308"/>
        <v>11.419999999999998</v>
      </c>
      <c r="L938" s="28" t="s">
        <v>1082</v>
      </c>
      <c r="M938" s="29">
        <v>61.3</v>
      </c>
      <c r="N938" s="48">
        <f t="shared" si="290"/>
        <v>44.810299999999998</v>
      </c>
      <c r="O938" s="48">
        <f t="shared" si="291"/>
        <v>51.17336259999999</v>
      </c>
      <c r="P938" s="48">
        <f t="shared" si="292"/>
        <v>511.7336259999999</v>
      </c>
      <c r="Q938" s="48">
        <f t="shared" si="293"/>
        <v>1225.7336259999997</v>
      </c>
      <c r="R938" s="41">
        <f t="shared" si="294"/>
        <v>1727.2734843019996</v>
      </c>
    </row>
    <row r="939" spans="2:18" x14ac:dyDescent="0.2">
      <c r="B939" s="61" t="str">
        <f>IF(F939&lt;&gt;"",1+MAX($B$21:B938),"")</f>
        <v/>
      </c>
      <c r="C939" s="67"/>
      <c r="D939" s="73"/>
      <c r="E939" s="14"/>
      <c r="F939" s="19"/>
      <c r="G939" s="48"/>
      <c r="H939" s="48">
        <f t="shared" si="306"/>
        <v>0</v>
      </c>
      <c r="I939" s="48">
        <f t="shared" si="307"/>
        <v>0</v>
      </c>
      <c r="J939" s="49"/>
      <c r="K939" s="50">
        <f t="shared" si="308"/>
        <v>0</v>
      </c>
      <c r="L939" s="50"/>
      <c r="M939" s="48"/>
      <c r="N939" s="48">
        <f t="shared" si="290"/>
        <v>0</v>
      </c>
      <c r="O939" s="48">
        <f t="shared" si="291"/>
        <v>0</v>
      </c>
      <c r="P939" s="48">
        <f t="shared" si="292"/>
        <v>0</v>
      </c>
      <c r="Q939" s="48">
        <f t="shared" si="293"/>
        <v>0</v>
      </c>
      <c r="R939" s="41">
        <f t="shared" si="294"/>
        <v>0</v>
      </c>
    </row>
    <row r="940" spans="2:18" x14ac:dyDescent="0.2">
      <c r="B940" s="62" t="str">
        <f>IF(F940&lt;&gt;"",1+MAX($B$21:B939),"")</f>
        <v/>
      </c>
      <c r="C940" s="68"/>
      <c r="D940" s="74" t="s">
        <v>850</v>
      </c>
      <c r="E940" s="14"/>
      <c r="F940" s="19"/>
      <c r="G940" s="48"/>
      <c r="H940" s="48">
        <f t="shared" si="306"/>
        <v>0</v>
      </c>
      <c r="I940" s="48">
        <f t="shared" si="307"/>
        <v>0</v>
      </c>
      <c r="J940" s="49"/>
      <c r="K940" s="50">
        <f t="shared" si="308"/>
        <v>0</v>
      </c>
      <c r="L940" s="50"/>
      <c r="M940" s="48"/>
      <c r="N940" s="48">
        <f t="shared" si="290"/>
        <v>0</v>
      </c>
      <c r="O940" s="48">
        <f t="shared" si="291"/>
        <v>0</v>
      </c>
      <c r="P940" s="48">
        <f t="shared" si="292"/>
        <v>0</v>
      </c>
      <c r="Q940" s="48">
        <f t="shared" si="293"/>
        <v>0</v>
      </c>
      <c r="R940" s="41">
        <f t="shared" si="294"/>
        <v>0</v>
      </c>
    </row>
    <row r="941" spans="2:18" x14ac:dyDescent="0.2">
      <c r="B941" s="61">
        <f>IF(F941&lt;&gt;"",1+MAX($B$21:B940),"")</f>
        <v>581</v>
      </c>
      <c r="C941" s="198" t="s">
        <v>858</v>
      </c>
      <c r="D941" s="73" t="s">
        <v>851</v>
      </c>
      <c r="E941" s="14" t="s">
        <v>79</v>
      </c>
      <c r="F941" s="19">
        <v>7</v>
      </c>
      <c r="G941" s="48">
        <v>800</v>
      </c>
      <c r="H941" s="48">
        <f t="shared" si="306"/>
        <v>761.59999999999991</v>
      </c>
      <c r="I941" s="48">
        <f t="shared" si="307"/>
        <v>5331.1999999999989</v>
      </c>
      <c r="J941" s="49">
        <v>3</v>
      </c>
      <c r="K941" s="50">
        <f t="shared" si="308"/>
        <v>21</v>
      </c>
      <c r="L941" s="28" t="s">
        <v>1082</v>
      </c>
      <c r="M941" s="29">
        <v>61.3</v>
      </c>
      <c r="N941" s="48">
        <f t="shared" si="290"/>
        <v>44.810299999999998</v>
      </c>
      <c r="O941" s="48">
        <f t="shared" si="291"/>
        <v>134.43090000000001</v>
      </c>
      <c r="P941" s="48">
        <f t="shared" si="292"/>
        <v>941.0163</v>
      </c>
      <c r="Q941" s="48">
        <f t="shared" si="293"/>
        <v>6272.2162999999991</v>
      </c>
      <c r="R941" s="41">
        <f t="shared" si="294"/>
        <v>8787.3179400999979</v>
      </c>
    </row>
    <row r="942" spans="2:18" x14ac:dyDescent="0.2">
      <c r="B942" s="61">
        <f>IF(F942&lt;&gt;"",1+MAX($B$21:B941),"")</f>
        <v>582</v>
      </c>
      <c r="C942" s="196"/>
      <c r="D942" s="73" t="s">
        <v>852</v>
      </c>
      <c r="E942" s="14" t="s">
        <v>79</v>
      </c>
      <c r="F942" s="19">
        <v>1</v>
      </c>
      <c r="G942" s="48">
        <v>250</v>
      </c>
      <c r="H942" s="48">
        <f t="shared" si="306"/>
        <v>238</v>
      </c>
      <c r="I942" s="48">
        <f t="shared" si="307"/>
        <v>238</v>
      </c>
      <c r="J942" s="49">
        <v>1.5</v>
      </c>
      <c r="K942" s="50">
        <f t="shared" si="308"/>
        <v>1.5</v>
      </c>
      <c r="L942" s="28" t="s">
        <v>1082</v>
      </c>
      <c r="M942" s="29">
        <v>61.3</v>
      </c>
      <c r="N942" s="48">
        <f t="shared" si="290"/>
        <v>44.810299999999998</v>
      </c>
      <c r="O942" s="48">
        <f t="shared" si="291"/>
        <v>67.215450000000004</v>
      </c>
      <c r="P942" s="48">
        <f t="shared" si="292"/>
        <v>67.215450000000004</v>
      </c>
      <c r="Q942" s="48">
        <f t="shared" si="293"/>
        <v>305.21545000000003</v>
      </c>
      <c r="R942" s="41">
        <f t="shared" si="294"/>
        <v>428.25964715000003</v>
      </c>
    </row>
    <row r="943" spans="2:18" x14ac:dyDescent="0.2">
      <c r="B943" s="61">
        <f>IF(F943&lt;&gt;"",1+MAX($B$21:B942),"")</f>
        <v>583</v>
      </c>
      <c r="C943" s="196"/>
      <c r="D943" s="73" t="s">
        <v>853</v>
      </c>
      <c r="E943" s="14" t="s">
        <v>79</v>
      </c>
      <c r="F943" s="19">
        <v>1</v>
      </c>
      <c r="G943" s="48">
        <v>300</v>
      </c>
      <c r="H943" s="48">
        <f t="shared" si="306"/>
        <v>285.59999999999997</v>
      </c>
      <c r="I943" s="48">
        <f t="shared" si="307"/>
        <v>285.59999999999997</v>
      </c>
      <c r="J943" s="49">
        <v>1.5</v>
      </c>
      <c r="K943" s="50">
        <f t="shared" si="308"/>
        <v>1.5</v>
      </c>
      <c r="L943" s="28" t="s">
        <v>1082</v>
      </c>
      <c r="M943" s="29">
        <v>61.3</v>
      </c>
      <c r="N943" s="48">
        <f t="shared" si="290"/>
        <v>44.810299999999998</v>
      </c>
      <c r="O943" s="48">
        <f t="shared" si="291"/>
        <v>67.215450000000004</v>
      </c>
      <c r="P943" s="48">
        <f t="shared" si="292"/>
        <v>67.215450000000004</v>
      </c>
      <c r="Q943" s="48">
        <f t="shared" si="293"/>
        <v>352.81544999999994</v>
      </c>
      <c r="R943" s="41">
        <f t="shared" si="294"/>
        <v>494.72828714999991</v>
      </c>
    </row>
    <row r="944" spans="2:18" x14ac:dyDescent="0.2">
      <c r="B944" s="61">
        <f>IF(F944&lt;&gt;"",1+MAX($B$21:B943),"")</f>
        <v>584</v>
      </c>
      <c r="C944" s="196"/>
      <c r="D944" s="73" t="s">
        <v>854</v>
      </c>
      <c r="E944" s="14" t="s">
        <v>79</v>
      </c>
      <c r="F944" s="19">
        <v>1</v>
      </c>
      <c r="G944" s="48">
        <v>250</v>
      </c>
      <c r="H944" s="48">
        <f t="shared" si="306"/>
        <v>238</v>
      </c>
      <c r="I944" s="48">
        <f t="shared" si="307"/>
        <v>238</v>
      </c>
      <c r="J944" s="49">
        <v>5</v>
      </c>
      <c r="K944" s="50">
        <f t="shared" si="308"/>
        <v>5</v>
      </c>
      <c r="L944" s="28" t="s">
        <v>1082</v>
      </c>
      <c r="M944" s="29">
        <v>61.3</v>
      </c>
      <c r="N944" s="48">
        <f t="shared" si="290"/>
        <v>44.810299999999998</v>
      </c>
      <c r="O944" s="48">
        <f t="shared" si="291"/>
        <v>224.05149999999998</v>
      </c>
      <c r="P944" s="48">
        <f t="shared" si="292"/>
        <v>224.05149999999998</v>
      </c>
      <c r="Q944" s="48">
        <f t="shared" si="293"/>
        <v>462.05149999999998</v>
      </c>
      <c r="R944" s="41">
        <f t="shared" si="294"/>
        <v>652.06469049999998</v>
      </c>
    </row>
    <row r="945" spans="2:18" ht="38.25" x14ac:dyDescent="0.2">
      <c r="B945" s="61">
        <f>IF(F945&lt;&gt;"",1+MAX($B$21:B944),"")</f>
        <v>585</v>
      </c>
      <c r="C945" s="196"/>
      <c r="D945" s="73" t="s">
        <v>855</v>
      </c>
      <c r="E945" s="14" t="s">
        <v>79</v>
      </c>
      <c r="F945" s="19">
        <v>1</v>
      </c>
      <c r="G945" s="48">
        <v>1500</v>
      </c>
      <c r="H945" s="48">
        <f t="shared" si="306"/>
        <v>1428</v>
      </c>
      <c r="I945" s="48">
        <f t="shared" si="307"/>
        <v>1428</v>
      </c>
      <c r="J945" s="49">
        <v>3</v>
      </c>
      <c r="K945" s="50">
        <f t="shared" si="308"/>
        <v>3</v>
      </c>
      <c r="L945" s="28" t="s">
        <v>1082</v>
      </c>
      <c r="M945" s="29">
        <v>61.3</v>
      </c>
      <c r="N945" s="48">
        <f t="shared" si="290"/>
        <v>44.810299999999998</v>
      </c>
      <c r="O945" s="48">
        <f t="shared" si="291"/>
        <v>134.43090000000001</v>
      </c>
      <c r="P945" s="48">
        <f t="shared" si="292"/>
        <v>134.43090000000001</v>
      </c>
      <c r="Q945" s="48">
        <f t="shared" si="293"/>
        <v>1562.4309000000001</v>
      </c>
      <c r="R945" s="41">
        <f t="shared" si="294"/>
        <v>2185.8920942999998</v>
      </c>
    </row>
    <row r="946" spans="2:18" ht="25.5" x14ac:dyDescent="0.2">
      <c r="B946" s="61">
        <f>IF(F946&lt;&gt;"",1+MAX($B$21:B945),"")</f>
        <v>586</v>
      </c>
      <c r="C946" s="196"/>
      <c r="D946" s="73" t="s">
        <v>856</v>
      </c>
      <c r="E946" s="14" t="s">
        <v>79</v>
      </c>
      <c r="F946" s="19">
        <v>1</v>
      </c>
      <c r="G946" s="48">
        <v>500</v>
      </c>
      <c r="H946" s="48">
        <f t="shared" si="306"/>
        <v>476</v>
      </c>
      <c r="I946" s="48">
        <f t="shared" si="307"/>
        <v>476</v>
      </c>
      <c r="J946" s="49">
        <v>2</v>
      </c>
      <c r="K946" s="50">
        <f t="shared" si="308"/>
        <v>2</v>
      </c>
      <c r="L946" s="28" t="s">
        <v>1082</v>
      </c>
      <c r="M946" s="29">
        <v>61.3</v>
      </c>
      <c r="N946" s="48">
        <f t="shared" si="290"/>
        <v>44.810299999999998</v>
      </c>
      <c r="O946" s="48">
        <f t="shared" si="291"/>
        <v>89.620599999999996</v>
      </c>
      <c r="P946" s="48">
        <f t="shared" si="292"/>
        <v>89.620599999999996</v>
      </c>
      <c r="Q946" s="48">
        <f t="shared" si="293"/>
        <v>565.62059999999997</v>
      </c>
      <c r="R946" s="41">
        <f t="shared" si="294"/>
        <v>792.57499619999999</v>
      </c>
    </row>
    <row r="947" spans="2:18" ht="25.5" x14ac:dyDescent="0.2">
      <c r="B947" s="61">
        <f>IF(F947&lt;&gt;"",1+MAX($B$21:B946),"")</f>
        <v>587</v>
      </c>
      <c r="C947" s="197"/>
      <c r="D947" s="73" t="s">
        <v>857</v>
      </c>
      <c r="E947" s="14" t="s">
        <v>79</v>
      </c>
      <c r="F947" s="19">
        <v>1</v>
      </c>
      <c r="G947" s="48">
        <v>150</v>
      </c>
      <c r="H947" s="48">
        <f t="shared" si="306"/>
        <v>142.79999999999998</v>
      </c>
      <c r="I947" s="48">
        <f t="shared" si="307"/>
        <v>142.79999999999998</v>
      </c>
      <c r="J947" s="49">
        <v>1.5</v>
      </c>
      <c r="K947" s="50">
        <f t="shared" si="308"/>
        <v>1.5</v>
      </c>
      <c r="L947" s="28" t="s">
        <v>1082</v>
      </c>
      <c r="M947" s="29">
        <v>61.3</v>
      </c>
      <c r="N947" s="48">
        <f t="shared" si="290"/>
        <v>44.810299999999998</v>
      </c>
      <c r="O947" s="48">
        <f t="shared" si="291"/>
        <v>67.215450000000004</v>
      </c>
      <c r="P947" s="48">
        <f t="shared" si="292"/>
        <v>67.215450000000004</v>
      </c>
      <c r="Q947" s="48">
        <f t="shared" si="293"/>
        <v>210.01544999999999</v>
      </c>
      <c r="R947" s="41">
        <f t="shared" si="294"/>
        <v>295.32236714999999</v>
      </c>
    </row>
    <row r="948" spans="2:18" x14ac:dyDescent="0.2">
      <c r="B948" s="61" t="str">
        <f>IF(F948&lt;&gt;"",1+MAX($B$21:B947),"")</f>
        <v/>
      </c>
      <c r="C948" s="67"/>
      <c r="D948" s="73"/>
      <c r="E948" s="14"/>
      <c r="F948" s="19"/>
      <c r="G948" s="48"/>
      <c r="H948" s="48">
        <f t="shared" si="306"/>
        <v>0</v>
      </c>
      <c r="I948" s="48">
        <f t="shared" si="307"/>
        <v>0</v>
      </c>
      <c r="J948" s="49"/>
      <c r="K948" s="50">
        <f t="shared" si="308"/>
        <v>0</v>
      </c>
      <c r="L948" s="50"/>
      <c r="M948" s="48"/>
      <c r="N948" s="48">
        <f t="shared" si="290"/>
        <v>0</v>
      </c>
      <c r="O948" s="48">
        <f t="shared" si="291"/>
        <v>0</v>
      </c>
      <c r="P948" s="48">
        <f t="shared" si="292"/>
        <v>0</v>
      </c>
      <c r="Q948" s="48">
        <f t="shared" si="293"/>
        <v>0</v>
      </c>
      <c r="R948" s="41">
        <f t="shared" si="294"/>
        <v>0</v>
      </c>
    </row>
    <row r="949" spans="2:18" x14ac:dyDescent="0.2">
      <c r="B949" s="62" t="str">
        <f>IF(F949&lt;&gt;"",1+MAX($B$21:B948),"")</f>
        <v/>
      </c>
      <c r="C949" s="68"/>
      <c r="D949" s="74" t="s">
        <v>773</v>
      </c>
      <c r="E949" s="14"/>
      <c r="F949" s="19"/>
      <c r="G949" s="48"/>
      <c r="H949" s="48">
        <f t="shared" si="306"/>
        <v>0</v>
      </c>
      <c r="I949" s="48">
        <f t="shared" si="307"/>
        <v>0</v>
      </c>
      <c r="J949" s="49"/>
      <c r="K949" s="50">
        <f t="shared" si="308"/>
        <v>0</v>
      </c>
      <c r="L949" s="50"/>
      <c r="M949" s="48"/>
      <c r="N949" s="48">
        <f t="shared" si="290"/>
        <v>0</v>
      </c>
      <c r="O949" s="48">
        <f t="shared" si="291"/>
        <v>0</v>
      </c>
      <c r="P949" s="48">
        <f t="shared" si="292"/>
        <v>0</v>
      </c>
      <c r="Q949" s="48">
        <f t="shared" si="293"/>
        <v>0</v>
      </c>
      <c r="R949" s="41">
        <f t="shared" si="294"/>
        <v>0</v>
      </c>
    </row>
    <row r="950" spans="2:18" ht="63.75" x14ac:dyDescent="0.2">
      <c r="B950" s="61">
        <f>IF(F950&lt;&gt;"",1+MAX($B$21:B949),"")</f>
        <v>588</v>
      </c>
      <c r="C950" s="195" t="s">
        <v>858</v>
      </c>
      <c r="D950" s="73" t="s">
        <v>771</v>
      </c>
      <c r="E950" s="14" t="s">
        <v>79</v>
      </c>
      <c r="F950" s="19">
        <v>1</v>
      </c>
      <c r="G950" s="48">
        <v>5000</v>
      </c>
      <c r="H950" s="48">
        <f t="shared" si="306"/>
        <v>4760</v>
      </c>
      <c r="I950" s="48">
        <f t="shared" si="307"/>
        <v>4760</v>
      </c>
      <c r="J950" s="49">
        <v>38</v>
      </c>
      <c r="K950" s="50">
        <f t="shared" si="308"/>
        <v>38</v>
      </c>
      <c r="L950" s="28" t="s">
        <v>1086</v>
      </c>
      <c r="M950" s="29">
        <v>61.3</v>
      </c>
      <c r="N950" s="48">
        <f t="shared" si="290"/>
        <v>44.810299999999998</v>
      </c>
      <c r="O950" s="48">
        <f t="shared" si="291"/>
        <v>1702.7913999999998</v>
      </c>
      <c r="P950" s="48">
        <f t="shared" si="292"/>
        <v>1702.7913999999998</v>
      </c>
      <c r="Q950" s="48">
        <f t="shared" si="293"/>
        <v>6462.7914000000001</v>
      </c>
      <c r="R950" s="41">
        <f t="shared" si="294"/>
        <v>9076.7473277999998</v>
      </c>
    </row>
    <row r="951" spans="2:18" ht="63.75" x14ac:dyDescent="0.2">
      <c r="B951" s="61">
        <f>IF(F951&lt;&gt;"",1+MAX($B$21:B950),"")</f>
        <v>589</v>
      </c>
      <c r="C951" s="195"/>
      <c r="D951" s="73" t="s">
        <v>772</v>
      </c>
      <c r="E951" s="14" t="s">
        <v>79</v>
      </c>
      <c r="F951" s="19">
        <v>1</v>
      </c>
      <c r="G951" s="48">
        <v>2600</v>
      </c>
      <c r="H951" s="48">
        <f t="shared" ref="H951:H969" si="309">G951*$T$2</f>
        <v>2475.1999999999998</v>
      </c>
      <c r="I951" s="48">
        <f t="shared" ref="I951:I969" si="310">F951*H951</f>
        <v>2475.1999999999998</v>
      </c>
      <c r="J951" s="49">
        <v>18</v>
      </c>
      <c r="K951" s="50">
        <f t="shared" ref="K951:K969" si="311">F951*J951</f>
        <v>18</v>
      </c>
      <c r="L951" s="28" t="s">
        <v>1086</v>
      </c>
      <c r="M951" s="29">
        <v>61.3</v>
      </c>
      <c r="N951" s="48">
        <f t="shared" ref="N951:N969" si="312">M951*$U$2</f>
        <v>44.810299999999998</v>
      </c>
      <c r="O951" s="48">
        <f t="shared" ref="O951:O969" si="313">J951*N951</f>
        <v>806.58539999999994</v>
      </c>
      <c r="P951" s="48">
        <f t="shared" ref="P951:P969" si="314">F951*O951</f>
        <v>806.58539999999994</v>
      </c>
      <c r="Q951" s="48">
        <f t="shared" ref="Q951:Q969" si="315">I951+P951</f>
        <v>3281.7853999999998</v>
      </c>
      <c r="R951" s="41">
        <f t="shared" ref="R951:R969" si="316">Q951+(I951*$Q$7)+(P951*$Q$8)+(Q951*$Q$9)+(Q951*$Q$11)+($Q$10*(Q951+(I951*$Q$7)+(P951*$Q$8)+(Q951*$Q$9)))</f>
        <v>4607.3666457999998</v>
      </c>
    </row>
    <row r="952" spans="2:18" x14ac:dyDescent="0.2">
      <c r="B952" s="61">
        <f>IF(F952&lt;&gt;"",1+MAX($B$21:B951),"")</f>
        <v>590</v>
      </c>
      <c r="C952" s="195"/>
      <c r="D952" s="73" t="s">
        <v>774</v>
      </c>
      <c r="E952" s="14" t="s">
        <v>79</v>
      </c>
      <c r="F952" s="19">
        <v>1</v>
      </c>
      <c r="G952" s="48">
        <v>3500</v>
      </c>
      <c r="H952" s="48">
        <f t="shared" si="309"/>
        <v>3332</v>
      </c>
      <c r="I952" s="48">
        <f t="shared" si="310"/>
        <v>3332</v>
      </c>
      <c r="J952" s="49">
        <v>25</v>
      </c>
      <c r="K952" s="50">
        <f t="shared" si="311"/>
        <v>25</v>
      </c>
      <c r="L952" s="28" t="s">
        <v>1086</v>
      </c>
      <c r="M952" s="29">
        <v>61.3</v>
      </c>
      <c r="N952" s="48">
        <f t="shared" si="312"/>
        <v>44.810299999999998</v>
      </c>
      <c r="O952" s="48">
        <f t="shared" si="313"/>
        <v>1120.2574999999999</v>
      </c>
      <c r="P952" s="48">
        <f t="shared" si="314"/>
        <v>1120.2574999999999</v>
      </c>
      <c r="Q952" s="48">
        <f t="shared" si="315"/>
        <v>4452.2574999999997</v>
      </c>
      <c r="R952" s="41">
        <f t="shared" si="316"/>
        <v>6251.4122524999993</v>
      </c>
    </row>
    <row r="953" spans="2:18" x14ac:dyDescent="0.2">
      <c r="B953" s="61" t="str">
        <f>IF(F953&lt;&gt;"",1+MAX($B$21:B952),"")</f>
        <v/>
      </c>
      <c r="C953" s="67"/>
      <c r="D953" s="73"/>
      <c r="E953" s="14"/>
      <c r="F953" s="19"/>
      <c r="G953" s="48"/>
      <c r="H953" s="48">
        <f t="shared" si="309"/>
        <v>0</v>
      </c>
      <c r="I953" s="48">
        <f t="shared" si="310"/>
        <v>0</v>
      </c>
      <c r="J953" s="49"/>
      <c r="K953" s="50">
        <f t="shared" si="311"/>
        <v>0</v>
      </c>
      <c r="L953" s="50"/>
      <c r="M953" s="48"/>
      <c r="N953" s="48">
        <f t="shared" si="312"/>
        <v>0</v>
      </c>
      <c r="O953" s="48">
        <f t="shared" si="313"/>
        <v>0</v>
      </c>
      <c r="P953" s="48">
        <f t="shared" si="314"/>
        <v>0</v>
      </c>
      <c r="Q953" s="48">
        <f t="shared" si="315"/>
        <v>0</v>
      </c>
      <c r="R953" s="41">
        <f t="shared" si="316"/>
        <v>0</v>
      </c>
    </row>
    <row r="954" spans="2:18" x14ac:dyDescent="0.2">
      <c r="B954" s="62" t="str">
        <f>IF(F954&lt;&gt;"",1+MAX($B$21:B953),"")</f>
        <v/>
      </c>
      <c r="C954" s="68"/>
      <c r="D954" s="74" t="s">
        <v>786</v>
      </c>
      <c r="E954" s="14"/>
      <c r="F954" s="19"/>
      <c r="G954" s="48"/>
      <c r="H954" s="48">
        <f t="shared" si="309"/>
        <v>0</v>
      </c>
      <c r="I954" s="48">
        <f t="shared" si="310"/>
        <v>0</v>
      </c>
      <c r="J954" s="49"/>
      <c r="K954" s="50">
        <f t="shared" si="311"/>
        <v>0</v>
      </c>
      <c r="L954" s="50"/>
      <c r="M954" s="48"/>
      <c r="N954" s="48">
        <f t="shared" si="312"/>
        <v>0</v>
      </c>
      <c r="O954" s="48">
        <f t="shared" si="313"/>
        <v>0</v>
      </c>
      <c r="P954" s="48">
        <f t="shared" si="314"/>
        <v>0</v>
      </c>
      <c r="Q954" s="48">
        <f t="shared" si="315"/>
        <v>0</v>
      </c>
      <c r="R954" s="41">
        <f t="shared" si="316"/>
        <v>0</v>
      </c>
    </row>
    <row r="955" spans="2:18" x14ac:dyDescent="0.2">
      <c r="B955" s="61">
        <f>IF(F955&lt;&gt;"",1+MAX($B$21:B954),"")</f>
        <v>591</v>
      </c>
      <c r="C955" s="67" t="s">
        <v>861</v>
      </c>
      <c r="D955" s="73" t="s">
        <v>786</v>
      </c>
      <c r="E955" s="14" t="s">
        <v>79</v>
      </c>
      <c r="F955" s="19">
        <v>4</v>
      </c>
      <c r="G955" s="12">
        <v>169</v>
      </c>
      <c r="H955" s="12">
        <f t="shared" si="309"/>
        <v>160.88800000000001</v>
      </c>
      <c r="I955" s="12">
        <f t="shared" si="310"/>
        <v>643.55200000000002</v>
      </c>
      <c r="J955" s="11">
        <v>1.1419999999999999</v>
      </c>
      <c r="K955" s="7">
        <f t="shared" si="311"/>
        <v>4.5679999999999996</v>
      </c>
      <c r="L955" s="28" t="s">
        <v>1082</v>
      </c>
      <c r="M955" s="29">
        <v>61.3</v>
      </c>
      <c r="N955" s="48">
        <f t="shared" si="312"/>
        <v>44.810299999999998</v>
      </c>
      <c r="O955" s="48">
        <f t="shared" si="313"/>
        <v>51.17336259999999</v>
      </c>
      <c r="P955" s="48">
        <f t="shared" si="314"/>
        <v>204.69345039999996</v>
      </c>
      <c r="Q955" s="48">
        <f t="shared" si="315"/>
        <v>848.24545039999998</v>
      </c>
      <c r="R955" s="41">
        <f t="shared" si="316"/>
        <v>1190.7535665208</v>
      </c>
    </row>
    <row r="956" spans="2:18" x14ac:dyDescent="0.2">
      <c r="B956" s="61" t="str">
        <f>IF(F956&lt;&gt;"",1+MAX($B$21:B955),"")</f>
        <v/>
      </c>
      <c r="C956" s="67"/>
      <c r="D956" s="73"/>
      <c r="E956" s="14"/>
      <c r="F956" s="19"/>
      <c r="G956" s="48"/>
      <c r="H956" s="48">
        <f t="shared" si="309"/>
        <v>0</v>
      </c>
      <c r="I956" s="48">
        <f t="shared" si="310"/>
        <v>0</v>
      </c>
      <c r="J956" s="49"/>
      <c r="K956" s="50">
        <f t="shared" si="311"/>
        <v>0</v>
      </c>
      <c r="L956" s="50"/>
      <c r="M956" s="48"/>
      <c r="N956" s="48">
        <f t="shared" si="312"/>
        <v>0</v>
      </c>
      <c r="O956" s="48">
        <f t="shared" si="313"/>
        <v>0</v>
      </c>
      <c r="P956" s="48">
        <f t="shared" si="314"/>
        <v>0</v>
      </c>
      <c r="Q956" s="48">
        <f t="shared" si="315"/>
        <v>0</v>
      </c>
      <c r="R956" s="41">
        <f t="shared" si="316"/>
        <v>0</v>
      </c>
    </row>
    <row r="957" spans="2:18" x14ac:dyDescent="0.2">
      <c r="B957" s="62" t="str">
        <f>IF(F957&lt;&gt;"",1+MAX($B$21:B956),"")</f>
        <v/>
      </c>
      <c r="C957" s="68"/>
      <c r="D957" s="74" t="s">
        <v>140</v>
      </c>
      <c r="E957" s="14"/>
      <c r="F957" s="19"/>
      <c r="G957" s="48"/>
      <c r="H957" s="48">
        <f t="shared" si="309"/>
        <v>0</v>
      </c>
      <c r="I957" s="48">
        <f t="shared" si="310"/>
        <v>0</v>
      </c>
      <c r="J957" s="49"/>
      <c r="K957" s="50">
        <f t="shared" si="311"/>
        <v>0</v>
      </c>
      <c r="L957" s="50"/>
      <c r="M957" s="48"/>
      <c r="N957" s="48">
        <f t="shared" si="312"/>
        <v>0</v>
      </c>
      <c r="O957" s="48">
        <f t="shared" si="313"/>
        <v>0</v>
      </c>
      <c r="P957" s="48">
        <f t="shared" si="314"/>
        <v>0</v>
      </c>
      <c r="Q957" s="48">
        <f t="shared" si="315"/>
        <v>0</v>
      </c>
      <c r="R957" s="41">
        <f t="shared" si="316"/>
        <v>0</v>
      </c>
    </row>
    <row r="958" spans="2:18" x14ac:dyDescent="0.2">
      <c r="B958" s="61">
        <f>IF(F958&lt;&gt;"",1+MAX($B$21:B957),"")</f>
        <v>592</v>
      </c>
      <c r="C958" s="198" t="s">
        <v>861</v>
      </c>
      <c r="D958" s="73" t="s">
        <v>775</v>
      </c>
      <c r="E958" s="14" t="s">
        <v>79</v>
      </c>
      <c r="F958" s="19">
        <v>1</v>
      </c>
      <c r="G958" s="48">
        <v>40</v>
      </c>
      <c r="H958" s="48">
        <f t="shared" si="309"/>
        <v>38.08</v>
      </c>
      <c r="I958" s="48">
        <f t="shared" si="310"/>
        <v>38.08</v>
      </c>
      <c r="J958" s="49">
        <v>0.5</v>
      </c>
      <c r="K958" s="50">
        <f t="shared" si="311"/>
        <v>0.5</v>
      </c>
      <c r="L958" s="28" t="s">
        <v>1082</v>
      </c>
      <c r="M958" s="29">
        <v>61.3</v>
      </c>
      <c r="N958" s="48">
        <f t="shared" si="312"/>
        <v>44.810299999999998</v>
      </c>
      <c r="O958" s="48">
        <f t="shared" si="313"/>
        <v>22.405149999999999</v>
      </c>
      <c r="P958" s="48">
        <f t="shared" si="314"/>
        <v>22.405149999999999</v>
      </c>
      <c r="Q958" s="48">
        <f t="shared" si="315"/>
        <v>60.485149999999997</v>
      </c>
      <c r="R958" s="41">
        <f t="shared" si="316"/>
        <v>85.147061049999991</v>
      </c>
    </row>
    <row r="959" spans="2:18" x14ac:dyDescent="0.2">
      <c r="B959" s="61">
        <f>IF(F959&lt;&gt;"",1+MAX($B$21:B958),"")</f>
        <v>593</v>
      </c>
      <c r="C959" s="196"/>
      <c r="D959" s="73" t="s">
        <v>776</v>
      </c>
      <c r="E959" s="14" t="s">
        <v>79</v>
      </c>
      <c r="F959" s="19">
        <v>1</v>
      </c>
      <c r="G959" s="48">
        <v>300</v>
      </c>
      <c r="H959" s="48">
        <f t="shared" si="309"/>
        <v>285.59999999999997</v>
      </c>
      <c r="I959" s="48">
        <f t="shared" si="310"/>
        <v>285.59999999999997</v>
      </c>
      <c r="J959" s="49">
        <v>1</v>
      </c>
      <c r="K959" s="50">
        <f t="shared" si="311"/>
        <v>1</v>
      </c>
      <c r="L959" s="28" t="s">
        <v>1082</v>
      </c>
      <c r="M959" s="29">
        <v>61.3</v>
      </c>
      <c r="N959" s="48">
        <f t="shared" si="312"/>
        <v>44.810299999999998</v>
      </c>
      <c r="O959" s="48">
        <f t="shared" si="313"/>
        <v>44.810299999999998</v>
      </c>
      <c r="P959" s="48">
        <f t="shared" si="314"/>
        <v>44.810299999999998</v>
      </c>
      <c r="Q959" s="48">
        <f t="shared" si="315"/>
        <v>330.41029999999995</v>
      </c>
      <c r="R959" s="41">
        <f t="shared" si="316"/>
        <v>462.75613809999993</v>
      </c>
    </row>
    <row r="960" spans="2:18" x14ac:dyDescent="0.2">
      <c r="B960" s="61">
        <f>IF(F960&lt;&gt;"",1+MAX($B$21:B959),"")</f>
        <v>594</v>
      </c>
      <c r="C960" s="196"/>
      <c r="D960" s="73" t="s">
        <v>777</v>
      </c>
      <c r="E960" s="14" t="s">
        <v>79</v>
      </c>
      <c r="F960" s="19">
        <v>2</v>
      </c>
      <c r="G960" s="48">
        <v>45</v>
      </c>
      <c r="H960" s="48">
        <f t="shared" si="309"/>
        <v>42.839999999999996</v>
      </c>
      <c r="I960" s="48">
        <f t="shared" si="310"/>
        <v>85.679999999999993</v>
      </c>
      <c r="J960" s="49">
        <v>0.75</v>
      </c>
      <c r="K960" s="50">
        <f t="shared" si="311"/>
        <v>1.5</v>
      </c>
      <c r="L960" s="28" t="s">
        <v>1082</v>
      </c>
      <c r="M960" s="29">
        <v>61.3</v>
      </c>
      <c r="N960" s="48">
        <f t="shared" si="312"/>
        <v>44.810299999999998</v>
      </c>
      <c r="O960" s="48">
        <f t="shared" si="313"/>
        <v>33.607725000000002</v>
      </c>
      <c r="P960" s="48">
        <f t="shared" si="314"/>
        <v>67.215450000000004</v>
      </c>
      <c r="Q960" s="48">
        <f t="shared" si="315"/>
        <v>152.89544999999998</v>
      </c>
      <c r="R960" s="41">
        <f t="shared" si="316"/>
        <v>215.55999914999995</v>
      </c>
    </row>
    <row r="961" spans="2:36" ht="25.5" x14ac:dyDescent="0.2">
      <c r="B961" s="61">
        <f>IF(F961&lt;&gt;"",1+MAX($B$21:B960),"")</f>
        <v>595</v>
      </c>
      <c r="C961" s="196"/>
      <c r="D961" s="73" t="s">
        <v>778</v>
      </c>
      <c r="E961" s="14" t="s">
        <v>79</v>
      </c>
      <c r="F961" s="19">
        <v>2</v>
      </c>
      <c r="G961" s="48">
        <v>160</v>
      </c>
      <c r="H961" s="48">
        <f t="shared" si="309"/>
        <v>152.32</v>
      </c>
      <c r="I961" s="48">
        <f t="shared" si="310"/>
        <v>304.64</v>
      </c>
      <c r="J961" s="49">
        <v>1.25</v>
      </c>
      <c r="K961" s="50">
        <f t="shared" si="311"/>
        <v>2.5</v>
      </c>
      <c r="L961" s="28" t="s">
        <v>1082</v>
      </c>
      <c r="M961" s="29">
        <v>61.3</v>
      </c>
      <c r="N961" s="48">
        <f t="shared" si="312"/>
        <v>44.810299999999998</v>
      </c>
      <c r="O961" s="48">
        <f t="shared" si="313"/>
        <v>56.012874999999994</v>
      </c>
      <c r="P961" s="48">
        <f t="shared" si="314"/>
        <v>112.02574999999999</v>
      </c>
      <c r="Q961" s="48">
        <f t="shared" si="315"/>
        <v>416.66575</v>
      </c>
      <c r="R961" s="41">
        <f t="shared" si="316"/>
        <v>585.26004124999997</v>
      </c>
    </row>
    <row r="962" spans="2:36" ht="25.5" x14ac:dyDescent="0.2">
      <c r="B962" s="61">
        <f>IF(F962&lt;&gt;"",1+MAX($B$21:B961),"")</f>
        <v>596</v>
      </c>
      <c r="C962" s="196"/>
      <c r="D962" s="73" t="s">
        <v>779</v>
      </c>
      <c r="E962" s="14" t="s">
        <v>79</v>
      </c>
      <c r="F962" s="19">
        <v>1</v>
      </c>
      <c r="G962" s="48">
        <v>650</v>
      </c>
      <c r="H962" s="48">
        <f t="shared" si="309"/>
        <v>618.79999999999995</v>
      </c>
      <c r="I962" s="48">
        <f t="shared" si="310"/>
        <v>618.79999999999995</v>
      </c>
      <c r="J962" s="49">
        <v>2.5</v>
      </c>
      <c r="K962" s="50">
        <f t="shared" si="311"/>
        <v>2.5</v>
      </c>
      <c r="L962" s="28" t="s">
        <v>1082</v>
      </c>
      <c r="M962" s="29">
        <v>61.3</v>
      </c>
      <c r="N962" s="48">
        <f t="shared" si="312"/>
        <v>44.810299999999998</v>
      </c>
      <c r="O962" s="48">
        <f t="shared" si="313"/>
        <v>112.02574999999999</v>
      </c>
      <c r="P962" s="48">
        <f t="shared" si="314"/>
        <v>112.02574999999999</v>
      </c>
      <c r="Q962" s="48">
        <f t="shared" si="315"/>
        <v>730.82574999999997</v>
      </c>
      <c r="R962" s="41">
        <f t="shared" si="316"/>
        <v>1023.95306525</v>
      </c>
    </row>
    <row r="963" spans="2:36" x14ac:dyDescent="0.2">
      <c r="B963" s="61">
        <f>IF(F963&lt;&gt;"",1+MAX($B$21:B962),"")</f>
        <v>597</v>
      </c>
      <c r="C963" s="196"/>
      <c r="D963" s="73" t="s">
        <v>780</v>
      </c>
      <c r="E963" s="14" t="s">
        <v>79</v>
      </c>
      <c r="F963" s="19">
        <v>7</v>
      </c>
      <c r="G963" s="48">
        <v>150</v>
      </c>
      <c r="H963" s="48">
        <f t="shared" si="309"/>
        <v>142.79999999999998</v>
      </c>
      <c r="I963" s="48">
        <f t="shared" si="310"/>
        <v>999.59999999999991</v>
      </c>
      <c r="J963" s="49">
        <v>0.75</v>
      </c>
      <c r="K963" s="50">
        <f t="shared" si="311"/>
        <v>5.25</v>
      </c>
      <c r="L963" s="28" t="s">
        <v>1082</v>
      </c>
      <c r="M963" s="29">
        <v>61.3</v>
      </c>
      <c r="N963" s="48">
        <f t="shared" si="312"/>
        <v>44.810299999999998</v>
      </c>
      <c r="O963" s="48">
        <f t="shared" si="313"/>
        <v>33.607725000000002</v>
      </c>
      <c r="P963" s="48">
        <f t="shared" si="314"/>
        <v>235.254075</v>
      </c>
      <c r="Q963" s="48">
        <f t="shared" si="315"/>
        <v>1234.854075</v>
      </c>
      <c r="R963" s="41">
        <f t="shared" si="316"/>
        <v>1731.549005025</v>
      </c>
    </row>
    <row r="964" spans="2:36" x14ac:dyDescent="0.2">
      <c r="B964" s="61">
        <f>IF(F964&lt;&gt;"",1+MAX($B$21:B963),"")</f>
        <v>598</v>
      </c>
      <c r="C964" s="196"/>
      <c r="D964" s="73" t="s">
        <v>781</v>
      </c>
      <c r="E964" s="14" t="s">
        <v>79</v>
      </c>
      <c r="F964" s="19">
        <v>1</v>
      </c>
      <c r="G964" s="48">
        <v>85</v>
      </c>
      <c r="H964" s="48">
        <f t="shared" si="309"/>
        <v>80.92</v>
      </c>
      <c r="I964" s="48">
        <f t="shared" si="310"/>
        <v>80.92</v>
      </c>
      <c r="J964" s="49">
        <v>1</v>
      </c>
      <c r="K964" s="50">
        <f t="shared" si="311"/>
        <v>1</v>
      </c>
      <c r="L964" s="28" t="s">
        <v>1082</v>
      </c>
      <c r="M964" s="29">
        <v>61.3</v>
      </c>
      <c r="N964" s="48">
        <f t="shared" si="312"/>
        <v>44.810299999999998</v>
      </c>
      <c r="O964" s="48">
        <f t="shared" si="313"/>
        <v>44.810299999999998</v>
      </c>
      <c r="P964" s="48">
        <f t="shared" si="314"/>
        <v>44.810299999999998</v>
      </c>
      <c r="Q964" s="48">
        <f t="shared" si="315"/>
        <v>125.7303</v>
      </c>
      <c r="R964" s="41">
        <f t="shared" si="316"/>
        <v>176.94098610000003</v>
      </c>
    </row>
    <row r="965" spans="2:36" x14ac:dyDescent="0.2">
      <c r="B965" s="61">
        <f>IF(F965&lt;&gt;"",1+MAX($B$21:B964),"")</f>
        <v>599</v>
      </c>
      <c r="C965" s="196"/>
      <c r="D965" s="73" t="s">
        <v>782</v>
      </c>
      <c r="E965" s="14" t="s">
        <v>79</v>
      </c>
      <c r="F965" s="19">
        <v>5</v>
      </c>
      <c r="G965" s="48">
        <v>5</v>
      </c>
      <c r="H965" s="48">
        <f t="shared" si="309"/>
        <v>4.76</v>
      </c>
      <c r="I965" s="48">
        <f t="shared" si="310"/>
        <v>23.799999999999997</v>
      </c>
      <c r="J965" s="49">
        <v>0.25</v>
      </c>
      <c r="K965" s="50">
        <f t="shared" si="311"/>
        <v>1.25</v>
      </c>
      <c r="L965" s="28" t="s">
        <v>1082</v>
      </c>
      <c r="M965" s="29">
        <v>61.3</v>
      </c>
      <c r="N965" s="48">
        <f t="shared" si="312"/>
        <v>44.810299999999998</v>
      </c>
      <c r="O965" s="48">
        <f t="shared" si="313"/>
        <v>11.202575</v>
      </c>
      <c r="P965" s="48">
        <f t="shared" si="314"/>
        <v>56.012874999999994</v>
      </c>
      <c r="Q965" s="48">
        <f t="shared" si="315"/>
        <v>79.812874999999991</v>
      </c>
      <c r="R965" s="41">
        <f t="shared" si="316"/>
        <v>113.164692625</v>
      </c>
    </row>
    <row r="966" spans="2:36" x14ac:dyDescent="0.2">
      <c r="B966" s="61">
        <f>IF(F966&lt;&gt;"",1+MAX($B$21:B965),"")</f>
        <v>600</v>
      </c>
      <c r="C966" s="196"/>
      <c r="D966" s="73" t="s">
        <v>783</v>
      </c>
      <c r="E966" s="14" t="s">
        <v>79</v>
      </c>
      <c r="F966" s="19">
        <v>1</v>
      </c>
      <c r="G966" s="48">
        <v>65</v>
      </c>
      <c r="H966" s="48">
        <f t="shared" si="309"/>
        <v>61.879999999999995</v>
      </c>
      <c r="I966" s="48">
        <f t="shared" si="310"/>
        <v>61.879999999999995</v>
      </c>
      <c r="J966" s="49">
        <v>0.75</v>
      </c>
      <c r="K966" s="50">
        <f t="shared" si="311"/>
        <v>0.75</v>
      </c>
      <c r="L966" s="28" t="s">
        <v>1082</v>
      </c>
      <c r="M966" s="29">
        <v>61.3</v>
      </c>
      <c r="N966" s="48">
        <f t="shared" si="312"/>
        <v>44.810299999999998</v>
      </c>
      <c r="O966" s="48">
        <f t="shared" si="313"/>
        <v>33.607725000000002</v>
      </c>
      <c r="P966" s="48">
        <f t="shared" si="314"/>
        <v>33.607725000000002</v>
      </c>
      <c r="Q966" s="48">
        <f t="shared" si="315"/>
        <v>95.487724999999998</v>
      </c>
      <c r="R966" s="41">
        <f t="shared" si="316"/>
        <v>134.36745557500001</v>
      </c>
    </row>
    <row r="967" spans="2:36" x14ac:dyDescent="0.2">
      <c r="B967" s="61">
        <f>IF(F967&lt;&gt;"",1+MAX($B$21:B966),"")</f>
        <v>601</v>
      </c>
      <c r="C967" s="196"/>
      <c r="D967" s="73" t="s">
        <v>784</v>
      </c>
      <c r="E967" s="14" t="s">
        <v>74</v>
      </c>
      <c r="F967" s="19">
        <v>19.61</v>
      </c>
      <c r="G967" s="31">
        <f>4*4.01</f>
        <v>16.04</v>
      </c>
      <c r="H967" s="12">
        <f t="shared" si="309"/>
        <v>15.270079999999998</v>
      </c>
      <c r="I967" s="12">
        <f t="shared" si="310"/>
        <v>299.44626879999998</v>
      </c>
      <c r="J967" s="32">
        <f>4*0.089</f>
        <v>0.35599999999999998</v>
      </c>
      <c r="K967" s="7">
        <f t="shared" si="311"/>
        <v>6.9811599999999991</v>
      </c>
      <c r="L967" s="30" t="s">
        <v>1082</v>
      </c>
      <c r="M967" s="31">
        <v>61.3</v>
      </c>
      <c r="N967" s="48">
        <f t="shared" si="312"/>
        <v>44.810299999999998</v>
      </c>
      <c r="O967" s="48">
        <f t="shared" si="313"/>
        <v>15.952466799999998</v>
      </c>
      <c r="P967" s="48">
        <f t="shared" si="314"/>
        <v>312.82787394799993</v>
      </c>
      <c r="Q967" s="48">
        <f t="shared" si="315"/>
        <v>612.27414274799992</v>
      </c>
      <c r="R967" s="41">
        <f t="shared" si="316"/>
        <v>864.5521458761159</v>
      </c>
    </row>
    <row r="968" spans="2:36" x14ac:dyDescent="0.2">
      <c r="B968" s="61">
        <f>IF(F968&lt;&gt;"",1+MAX($B$21:B967),"")</f>
        <v>602</v>
      </c>
      <c r="C968" s="197"/>
      <c r="D968" s="73" t="s">
        <v>785</v>
      </c>
      <c r="E968" s="14" t="s">
        <v>74</v>
      </c>
      <c r="F968" s="19">
        <v>19.54</v>
      </c>
      <c r="G968" s="31">
        <f>4*13.2</f>
        <v>52.8</v>
      </c>
      <c r="H968" s="12">
        <f t="shared" si="309"/>
        <v>50.265599999999992</v>
      </c>
      <c r="I968" s="12">
        <f t="shared" si="310"/>
        <v>982.18982399999982</v>
      </c>
      <c r="J968" s="32">
        <f>4*0.16</f>
        <v>0.64</v>
      </c>
      <c r="K968" s="7">
        <f t="shared" si="311"/>
        <v>12.505599999999999</v>
      </c>
      <c r="L968" s="30" t="s">
        <v>1082</v>
      </c>
      <c r="M968" s="31">
        <v>61.3</v>
      </c>
      <c r="N968" s="48">
        <f t="shared" si="312"/>
        <v>44.810299999999998</v>
      </c>
      <c r="O968" s="48">
        <f t="shared" si="313"/>
        <v>28.678591999999998</v>
      </c>
      <c r="P968" s="48">
        <f t="shared" si="314"/>
        <v>560.37968767999996</v>
      </c>
      <c r="Q968" s="48">
        <f t="shared" si="315"/>
        <v>1542.5695116799998</v>
      </c>
      <c r="R968" s="41">
        <f t="shared" si="316"/>
        <v>2171.1916845529595</v>
      </c>
    </row>
    <row r="969" spans="2:36" ht="13.5" thickBot="1" x14ac:dyDescent="0.25">
      <c r="B969" s="61" t="str">
        <f>IF(F969&lt;&gt;"",1+MAX($B$21:B968),"")</f>
        <v/>
      </c>
      <c r="C969" s="67"/>
      <c r="D969" s="73"/>
      <c r="E969" s="14"/>
      <c r="F969" s="19"/>
      <c r="G969" s="48"/>
      <c r="H969" s="48">
        <f t="shared" si="309"/>
        <v>0</v>
      </c>
      <c r="I969" s="48">
        <f t="shared" si="310"/>
        <v>0</v>
      </c>
      <c r="J969" s="49"/>
      <c r="K969" s="50">
        <f t="shared" si="311"/>
        <v>0</v>
      </c>
      <c r="L969" s="50"/>
      <c r="M969" s="48"/>
      <c r="N969" s="48">
        <f t="shared" si="312"/>
        <v>0</v>
      </c>
      <c r="O969" s="48">
        <f t="shared" si="313"/>
        <v>0</v>
      </c>
      <c r="P969" s="48">
        <f t="shared" si="314"/>
        <v>0</v>
      </c>
      <c r="Q969" s="48">
        <f t="shared" si="315"/>
        <v>0</v>
      </c>
      <c r="R969" s="41">
        <f t="shared" si="316"/>
        <v>0</v>
      </c>
      <c r="S969" s="9"/>
    </row>
    <row r="970" spans="2:36" s="9" customFormat="1" ht="26.25" thickBot="1" x14ac:dyDescent="0.25">
      <c r="B970" s="59" t="str">
        <f>IF(F970&lt;&gt;"",1+MAX($B$21:B969),"")</f>
        <v/>
      </c>
      <c r="C970" s="65" t="s">
        <v>809</v>
      </c>
      <c r="D970" s="72" t="s">
        <v>810</v>
      </c>
      <c r="E970" s="51"/>
      <c r="F970" s="51"/>
      <c r="G970" s="51"/>
      <c r="H970" s="52" t="s">
        <v>61</v>
      </c>
      <c r="I970" s="53">
        <f>SUM(I971:I1021)</f>
        <v>21657.000400000001</v>
      </c>
      <c r="J970" s="54"/>
      <c r="K970" s="55" t="str">
        <f>ROUND(SUM(K971:K1021),0) &amp; " " &amp; "HRS"</f>
        <v>140 HRS</v>
      </c>
      <c r="L970" s="56"/>
      <c r="M970" s="56"/>
      <c r="N970" s="56"/>
      <c r="O970" s="52" t="s">
        <v>62</v>
      </c>
      <c r="P970" s="53">
        <f>SUM(P971:P1021)</f>
        <v>6259.3715658000019</v>
      </c>
      <c r="Q970" s="57">
        <f>SUM(Q971:Q1021)</f>
        <v>27916.371965799997</v>
      </c>
      <c r="R970" s="58">
        <f>(Q970)+(I970*$Q$7)+(P970*$Q$8)+(Q970*$Q$9)+($Q$10*((Q970)+(I970*$Q$7)+(P970*$Q$8)+(Q970*$Q$9)))+(Q970*$Q$11)</f>
        <v>39173.958582956599</v>
      </c>
      <c r="T970" s="8"/>
      <c r="U970" s="8"/>
      <c r="V970" s="8"/>
      <c r="W970" s="8"/>
      <c r="X970" s="8"/>
      <c r="Y970" s="8"/>
      <c r="Z970" s="8"/>
      <c r="AA970" s="8"/>
      <c r="AB970" s="8"/>
      <c r="AC970" s="8"/>
      <c r="AD970" s="8"/>
      <c r="AE970" s="8"/>
      <c r="AF970" s="8"/>
      <c r="AG970" s="8"/>
      <c r="AH970" s="8"/>
      <c r="AI970" s="8"/>
      <c r="AJ970" s="8"/>
    </row>
    <row r="971" spans="2:36" x14ac:dyDescent="0.2">
      <c r="B971" s="61" t="str">
        <f>IF(F971&lt;&gt;"",1+MAX($B$21:B970),"")</f>
        <v/>
      </c>
      <c r="C971" s="67"/>
      <c r="D971" s="73"/>
      <c r="E971" s="14"/>
      <c r="F971" s="19"/>
      <c r="G971" s="48"/>
      <c r="H971" s="48">
        <f t="shared" ref="H971:H1021" si="317">G971*$T$2</f>
        <v>0</v>
      </c>
      <c r="I971" s="48">
        <f t="shared" ref="I971:I1021" si="318">F971*H971</f>
        <v>0</v>
      </c>
      <c r="J971" s="49"/>
      <c r="K971" s="50">
        <f t="shared" ref="K971:K1021" si="319">F971*J971</f>
        <v>0</v>
      </c>
      <c r="L971" s="50"/>
      <c r="M971" s="48"/>
      <c r="N971" s="48">
        <f t="shared" ref="N971:N1021" si="320">M971*$U$2</f>
        <v>0</v>
      </c>
      <c r="O971" s="48">
        <f t="shared" ref="O971:O1021" si="321">J971*N971</f>
        <v>0</v>
      </c>
      <c r="P971" s="48">
        <f t="shared" ref="P971:P1021" si="322">F971*O971</f>
        <v>0</v>
      </c>
      <c r="Q971" s="48">
        <f t="shared" ref="Q971:Q1021" si="323">I971+P971</f>
        <v>0</v>
      </c>
      <c r="R971" s="41">
        <f t="shared" ref="R971:R1021" si="324">Q971+(I971*$Q$7)+(P971*$Q$8)+(Q971*$Q$9)+(Q971*$Q$11)+($Q$10*(Q971+(I971*$Q$7)+(P971*$Q$8)+(Q971*$Q$9)))</f>
        <v>0</v>
      </c>
      <c r="S971" s="9"/>
    </row>
    <row r="972" spans="2:36" x14ac:dyDescent="0.2">
      <c r="B972" s="62" t="str">
        <f>IF(F972&lt;&gt;"",1+MAX($B$21:B971),"")</f>
        <v/>
      </c>
      <c r="C972" s="68"/>
      <c r="D972" s="74" t="s">
        <v>834</v>
      </c>
      <c r="E972" s="14"/>
      <c r="F972" s="19"/>
      <c r="G972" s="48"/>
      <c r="H972" s="48">
        <f t="shared" si="317"/>
        <v>0</v>
      </c>
      <c r="I972" s="48">
        <f t="shared" si="318"/>
        <v>0</v>
      </c>
      <c r="J972" s="49"/>
      <c r="K972" s="50">
        <f t="shared" si="319"/>
        <v>0</v>
      </c>
      <c r="L972" s="50"/>
      <c r="M972" s="48"/>
      <c r="N972" s="48">
        <f t="shared" si="320"/>
        <v>0</v>
      </c>
      <c r="O972" s="48">
        <f t="shared" si="321"/>
        <v>0</v>
      </c>
      <c r="P972" s="48">
        <f t="shared" si="322"/>
        <v>0</v>
      </c>
      <c r="Q972" s="48">
        <f t="shared" si="323"/>
        <v>0</v>
      </c>
      <c r="R972" s="41">
        <f t="shared" si="324"/>
        <v>0</v>
      </c>
    </row>
    <row r="973" spans="2:36" x14ac:dyDescent="0.2">
      <c r="B973" s="61" t="str">
        <f>IF(F973&lt;&gt;"",1+MAX($B$21:B972),"")</f>
        <v/>
      </c>
      <c r="C973" s="67"/>
      <c r="D973" s="73"/>
      <c r="E973" s="14"/>
      <c r="F973" s="19"/>
      <c r="G973" s="48"/>
      <c r="H973" s="48">
        <f t="shared" si="317"/>
        <v>0</v>
      </c>
      <c r="I973" s="48">
        <f t="shared" si="318"/>
        <v>0</v>
      </c>
      <c r="J973" s="49"/>
      <c r="K973" s="50">
        <f t="shared" si="319"/>
        <v>0</v>
      </c>
      <c r="L973" s="50"/>
      <c r="M973" s="48"/>
      <c r="N973" s="48">
        <f t="shared" si="320"/>
        <v>0</v>
      </c>
      <c r="O973" s="48">
        <f t="shared" si="321"/>
        <v>0</v>
      </c>
      <c r="P973" s="48">
        <f t="shared" si="322"/>
        <v>0</v>
      </c>
      <c r="Q973" s="48">
        <f t="shared" si="323"/>
        <v>0</v>
      </c>
      <c r="R973" s="41">
        <f t="shared" si="324"/>
        <v>0</v>
      </c>
      <c r="S973" s="9"/>
    </row>
    <row r="974" spans="2:36" x14ac:dyDescent="0.2">
      <c r="B974" s="61" t="str">
        <f>IF(F974&lt;&gt;"",1+MAX($B$21:B973),"")</f>
        <v/>
      </c>
      <c r="C974" s="198" t="s">
        <v>833</v>
      </c>
      <c r="D974" s="75" t="s">
        <v>717</v>
      </c>
      <c r="E974" s="14"/>
      <c r="F974" s="19"/>
      <c r="G974" s="48"/>
      <c r="H974" s="48">
        <f t="shared" si="317"/>
        <v>0</v>
      </c>
      <c r="I974" s="48">
        <f t="shared" si="318"/>
        <v>0</v>
      </c>
      <c r="J974" s="49"/>
      <c r="K974" s="50">
        <f t="shared" si="319"/>
        <v>0</v>
      </c>
      <c r="L974" s="50"/>
      <c r="M974" s="48"/>
      <c r="N974" s="48">
        <f t="shared" si="320"/>
        <v>0</v>
      </c>
      <c r="O974" s="48">
        <f t="shared" si="321"/>
        <v>0</v>
      </c>
      <c r="P974" s="48">
        <f t="shared" si="322"/>
        <v>0</v>
      </c>
      <c r="Q974" s="48">
        <f t="shared" si="323"/>
        <v>0</v>
      </c>
      <c r="R974" s="41">
        <f t="shared" si="324"/>
        <v>0</v>
      </c>
      <c r="S974" s="9"/>
    </row>
    <row r="975" spans="2:36" x14ac:dyDescent="0.2">
      <c r="B975" s="61">
        <f>IF(F975&lt;&gt;"",1+MAX($B$21:B974),"")</f>
        <v>603</v>
      </c>
      <c r="C975" s="196"/>
      <c r="D975" s="73" t="s">
        <v>815</v>
      </c>
      <c r="E975" s="14" t="s">
        <v>79</v>
      </c>
      <c r="F975" s="19">
        <v>2</v>
      </c>
      <c r="G975" s="12">
        <v>137</v>
      </c>
      <c r="H975" s="12">
        <f t="shared" si="317"/>
        <v>130.42400000000001</v>
      </c>
      <c r="I975" s="12">
        <f t="shared" si="318"/>
        <v>260.84800000000001</v>
      </c>
      <c r="J975" s="11">
        <v>1.5089999999999999</v>
      </c>
      <c r="K975" s="7">
        <f t="shared" si="319"/>
        <v>3.0179999999999998</v>
      </c>
      <c r="L975" s="28" t="s">
        <v>1082</v>
      </c>
      <c r="M975" s="29">
        <v>61.3</v>
      </c>
      <c r="N975" s="48">
        <f t="shared" si="320"/>
        <v>44.810299999999998</v>
      </c>
      <c r="O975" s="48">
        <f t="shared" si="321"/>
        <v>67.618742699999999</v>
      </c>
      <c r="P975" s="48">
        <f t="shared" si="322"/>
        <v>135.2374854</v>
      </c>
      <c r="Q975" s="48">
        <f t="shared" si="323"/>
        <v>396.08548540000004</v>
      </c>
      <c r="R975" s="41">
        <f t="shared" si="324"/>
        <v>557.23203886580006</v>
      </c>
      <c r="S975" s="9"/>
    </row>
    <row r="976" spans="2:36" x14ac:dyDescent="0.2">
      <c r="B976" s="61" t="str">
        <f>IF(F976&lt;&gt;"",1+MAX($B$21:B975),"")</f>
        <v/>
      </c>
      <c r="C976" s="196"/>
      <c r="D976" s="73"/>
      <c r="E976" s="14"/>
      <c r="F976" s="19"/>
      <c r="G976" s="48"/>
      <c r="H976" s="48">
        <f t="shared" si="317"/>
        <v>0</v>
      </c>
      <c r="I976" s="48">
        <f t="shared" si="318"/>
        <v>0</v>
      </c>
      <c r="J976" s="49"/>
      <c r="K976" s="50">
        <f t="shared" si="319"/>
        <v>0</v>
      </c>
      <c r="L976" s="50"/>
      <c r="M976" s="48"/>
      <c r="N976" s="48">
        <f t="shared" si="320"/>
        <v>0</v>
      </c>
      <c r="O976" s="48">
        <f t="shared" si="321"/>
        <v>0</v>
      </c>
      <c r="P976" s="48">
        <f t="shared" si="322"/>
        <v>0</v>
      </c>
      <c r="Q976" s="48">
        <f t="shared" si="323"/>
        <v>0</v>
      </c>
      <c r="R976" s="41">
        <f t="shared" si="324"/>
        <v>0</v>
      </c>
      <c r="S976" s="9"/>
    </row>
    <row r="977" spans="2:19" x14ac:dyDescent="0.2">
      <c r="B977" s="61" t="str">
        <f>IF(F977&lt;&gt;"",1+MAX($B$21:B976),"")</f>
        <v/>
      </c>
      <c r="C977" s="196"/>
      <c r="D977" s="75" t="s">
        <v>828</v>
      </c>
      <c r="E977" s="14"/>
      <c r="F977" s="19"/>
      <c r="G977" s="48"/>
      <c r="H977" s="48">
        <f t="shared" si="317"/>
        <v>0</v>
      </c>
      <c r="I977" s="48">
        <f t="shared" si="318"/>
        <v>0</v>
      </c>
      <c r="J977" s="49"/>
      <c r="K977" s="50">
        <f t="shared" si="319"/>
        <v>0</v>
      </c>
      <c r="L977" s="50"/>
      <c r="M977" s="48"/>
      <c r="N977" s="48">
        <f t="shared" si="320"/>
        <v>0</v>
      </c>
      <c r="O977" s="48">
        <f t="shared" si="321"/>
        <v>0</v>
      </c>
      <c r="P977" s="48">
        <f t="shared" si="322"/>
        <v>0</v>
      </c>
      <c r="Q977" s="48">
        <f t="shared" si="323"/>
        <v>0</v>
      </c>
      <c r="R977" s="41">
        <f t="shared" si="324"/>
        <v>0</v>
      </c>
      <c r="S977" s="9"/>
    </row>
    <row r="978" spans="2:19" x14ac:dyDescent="0.2">
      <c r="B978" s="61">
        <f>IF(F978&lt;&gt;"",1+MAX($B$21:B977),"")</f>
        <v>604</v>
      </c>
      <c r="C978" s="196"/>
      <c r="D978" s="73" t="s">
        <v>811</v>
      </c>
      <c r="E978" s="14" t="s">
        <v>79</v>
      </c>
      <c r="F978" s="19">
        <v>5</v>
      </c>
      <c r="G978" s="31">
        <v>789.99</v>
      </c>
      <c r="H978" s="12">
        <f t="shared" si="317"/>
        <v>752.07047999999998</v>
      </c>
      <c r="I978" s="12">
        <f t="shared" si="318"/>
        <v>3760.3523999999998</v>
      </c>
      <c r="J978" s="32">
        <v>3.258</v>
      </c>
      <c r="K978" s="7">
        <f t="shared" si="319"/>
        <v>16.29</v>
      </c>
      <c r="L978" s="30" t="s">
        <v>1082</v>
      </c>
      <c r="M978" s="31">
        <v>61.3</v>
      </c>
      <c r="N978" s="48">
        <f t="shared" si="320"/>
        <v>44.810299999999998</v>
      </c>
      <c r="O978" s="48">
        <f t="shared" si="321"/>
        <v>145.99195739999999</v>
      </c>
      <c r="P978" s="48">
        <f t="shared" si="322"/>
        <v>729.95978700000001</v>
      </c>
      <c r="Q978" s="48">
        <f t="shared" si="323"/>
        <v>4490.3121869999995</v>
      </c>
      <c r="R978" s="41">
        <f t="shared" si="324"/>
        <v>6292.6087074089992</v>
      </c>
      <c r="S978" s="9"/>
    </row>
    <row r="979" spans="2:19" x14ac:dyDescent="0.2">
      <c r="B979" s="61">
        <f>IF(F979&lt;&gt;"",1+MAX($B$21:B978),"")</f>
        <v>605</v>
      </c>
      <c r="C979" s="196"/>
      <c r="D979" s="73" t="s">
        <v>813</v>
      </c>
      <c r="E979" s="14" t="s">
        <v>79</v>
      </c>
      <c r="F979" s="19">
        <v>4</v>
      </c>
      <c r="G979" s="48">
        <v>350</v>
      </c>
      <c r="H979" s="48">
        <f t="shared" si="317"/>
        <v>333.2</v>
      </c>
      <c r="I979" s="48">
        <f t="shared" si="318"/>
        <v>1332.8</v>
      </c>
      <c r="J979" s="49">
        <v>2</v>
      </c>
      <c r="K979" s="50">
        <f t="shared" si="319"/>
        <v>8</v>
      </c>
      <c r="L979" s="28" t="s">
        <v>1082</v>
      </c>
      <c r="M979" s="29">
        <v>61.3</v>
      </c>
      <c r="N979" s="48">
        <f t="shared" si="320"/>
        <v>44.810299999999998</v>
      </c>
      <c r="O979" s="48">
        <f t="shared" si="321"/>
        <v>89.620599999999996</v>
      </c>
      <c r="P979" s="48">
        <f t="shared" si="322"/>
        <v>358.48239999999998</v>
      </c>
      <c r="Q979" s="48">
        <f t="shared" si="323"/>
        <v>1691.2824000000001</v>
      </c>
      <c r="R979" s="41">
        <f t="shared" si="324"/>
        <v>2372.6763048000003</v>
      </c>
      <c r="S979" s="9"/>
    </row>
    <row r="980" spans="2:19" x14ac:dyDescent="0.2">
      <c r="B980" s="61">
        <f>IF(F980&lt;&gt;"",1+MAX($B$21:B979),"")</f>
        <v>606</v>
      </c>
      <c r="C980" s="196"/>
      <c r="D980" s="73" t="s">
        <v>819</v>
      </c>
      <c r="E980" s="14" t="s">
        <v>79</v>
      </c>
      <c r="F980" s="19">
        <v>2</v>
      </c>
      <c r="G980" s="48">
        <v>25</v>
      </c>
      <c r="H980" s="48">
        <f t="shared" si="317"/>
        <v>23.799999999999997</v>
      </c>
      <c r="I980" s="48">
        <f t="shared" si="318"/>
        <v>47.599999999999994</v>
      </c>
      <c r="J980" s="49">
        <v>0.5</v>
      </c>
      <c r="K980" s="50">
        <f t="shared" si="319"/>
        <v>1</v>
      </c>
      <c r="L980" s="28" t="s">
        <v>1082</v>
      </c>
      <c r="M980" s="29">
        <v>61.3</v>
      </c>
      <c r="N980" s="48">
        <f t="shared" si="320"/>
        <v>44.810299999999998</v>
      </c>
      <c r="O980" s="48">
        <f t="shared" si="321"/>
        <v>22.405149999999999</v>
      </c>
      <c r="P980" s="48">
        <f t="shared" si="322"/>
        <v>44.810299999999998</v>
      </c>
      <c r="Q980" s="48">
        <f t="shared" si="323"/>
        <v>92.410299999999992</v>
      </c>
      <c r="R980" s="41">
        <f t="shared" si="324"/>
        <v>130.41293809999999</v>
      </c>
      <c r="S980" s="9"/>
    </row>
    <row r="981" spans="2:19" x14ac:dyDescent="0.2">
      <c r="B981" s="61">
        <f>IF(F981&lt;&gt;"",1+MAX($B$21:B980),"")</f>
        <v>607</v>
      </c>
      <c r="C981" s="196"/>
      <c r="D981" s="73" t="s">
        <v>822</v>
      </c>
      <c r="E981" s="14" t="s">
        <v>79</v>
      </c>
      <c r="F981" s="19">
        <v>1</v>
      </c>
      <c r="G981" s="48">
        <v>65</v>
      </c>
      <c r="H981" s="48">
        <f t="shared" si="317"/>
        <v>61.879999999999995</v>
      </c>
      <c r="I981" s="48">
        <f t="shared" si="318"/>
        <v>61.879999999999995</v>
      </c>
      <c r="J981" s="49">
        <v>0.75</v>
      </c>
      <c r="K981" s="50">
        <f t="shared" si="319"/>
        <v>0.75</v>
      </c>
      <c r="L981" s="28" t="s">
        <v>1082</v>
      </c>
      <c r="M981" s="29">
        <v>61.3</v>
      </c>
      <c r="N981" s="48">
        <f t="shared" si="320"/>
        <v>44.810299999999998</v>
      </c>
      <c r="O981" s="48">
        <f t="shared" si="321"/>
        <v>33.607725000000002</v>
      </c>
      <c r="P981" s="48">
        <f t="shared" si="322"/>
        <v>33.607725000000002</v>
      </c>
      <c r="Q981" s="48">
        <f t="shared" si="323"/>
        <v>95.487724999999998</v>
      </c>
      <c r="R981" s="41">
        <f t="shared" si="324"/>
        <v>134.36745557500001</v>
      </c>
      <c r="S981" s="9"/>
    </row>
    <row r="982" spans="2:19" x14ac:dyDescent="0.2">
      <c r="B982" s="61" t="str">
        <f>IF(F982&lt;&gt;"",1+MAX($B$21:B981),"")</f>
        <v/>
      </c>
      <c r="C982" s="196"/>
      <c r="D982" s="42"/>
      <c r="E982" s="35"/>
      <c r="F982" s="24"/>
      <c r="G982" s="48"/>
      <c r="H982" s="48">
        <f t="shared" si="317"/>
        <v>0</v>
      </c>
      <c r="I982" s="48">
        <f t="shared" si="318"/>
        <v>0</v>
      </c>
      <c r="J982" s="49"/>
      <c r="K982" s="50">
        <f t="shared" si="319"/>
        <v>0</v>
      </c>
      <c r="L982" s="50"/>
      <c r="M982" s="48"/>
      <c r="N982" s="48">
        <f t="shared" si="320"/>
        <v>0</v>
      </c>
      <c r="O982" s="48">
        <f t="shared" si="321"/>
        <v>0</v>
      </c>
      <c r="P982" s="48">
        <f t="shared" si="322"/>
        <v>0</v>
      </c>
      <c r="Q982" s="48">
        <f t="shared" si="323"/>
        <v>0</v>
      </c>
      <c r="R982" s="41">
        <f t="shared" si="324"/>
        <v>0</v>
      </c>
    </row>
    <row r="983" spans="2:19" x14ac:dyDescent="0.2">
      <c r="B983" s="61" t="str">
        <f>IF(F983&lt;&gt;"",1+MAX($B$21:B982),"")</f>
        <v/>
      </c>
      <c r="C983" s="196"/>
      <c r="D983" s="75" t="s">
        <v>829</v>
      </c>
      <c r="E983" s="14"/>
      <c r="F983" s="19"/>
      <c r="G983" s="48"/>
      <c r="H983" s="48">
        <f t="shared" si="317"/>
        <v>0</v>
      </c>
      <c r="I983" s="48">
        <f t="shared" si="318"/>
        <v>0</v>
      </c>
      <c r="J983" s="49"/>
      <c r="K983" s="50">
        <f t="shared" si="319"/>
        <v>0</v>
      </c>
      <c r="L983" s="50"/>
      <c r="M983" s="48"/>
      <c r="N983" s="48">
        <f t="shared" si="320"/>
        <v>0</v>
      </c>
      <c r="O983" s="48">
        <f t="shared" si="321"/>
        <v>0</v>
      </c>
      <c r="P983" s="48">
        <f t="shared" si="322"/>
        <v>0</v>
      </c>
      <c r="Q983" s="48">
        <f t="shared" si="323"/>
        <v>0</v>
      </c>
      <c r="R983" s="41">
        <f t="shared" si="324"/>
        <v>0</v>
      </c>
      <c r="S983" s="9"/>
    </row>
    <row r="984" spans="2:19" x14ac:dyDescent="0.2">
      <c r="B984" s="61">
        <f>IF(F984&lt;&gt;"",1+MAX($B$21:B983),"")</f>
        <v>608</v>
      </c>
      <c r="C984" s="196"/>
      <c r="D984" s="73" t="s">
        <v>830</v>
      </c>
      <c r="E984" s="14" t="s">
        <v>79</v>
      </c>
      <c r="F984" s="19">
        <v>1</v>
      </c>
      <c r="G984" s="48">
        <v>1200</v>
      </c>
      <c r="H984" s="48">
        <f t="shared" si="317"/>
        <v>1142.3999999999999</v>
      </c>
      <c r="I984" s="48">
        <f t="shared" si="318"/>
        <v>1142.3999999999999</v>
      </c>
      <c r="J984" s="49">
        <v>5</v>
      </c>
      <c r="K984" s="50">
        <f t="shared" si="319"/>
        <v>5</v>
      </c>
      <c r="L984" s="28" t="s">
        <v>1082</v>
      </c>
      <c r="M984" s="29">
        <v>61.3</v>
      </c>
      <c r="N984" s="48">
        <f t="shared" si="320"/>
        <v>44.810299999999998</v>
      </c>
      <c r="O984" s="48">
        <f t="shared" si="321"/>
        <v>224.05149999999998</v>
      </c>
      <c r="P984" s="48">
        <f t="shared" si="322"/>
        <v>224.05149999999998</v>
      </c>
      <c r="Q984" s="48">
        <f t="shared" si="323"/>
        <v>1366.4514999999999</v>
      </c>
      <c r="R984" s="41">
        <f t="shared" si="324"/>
        <v>1914.9688504999999</v>
      </c>
      <c r="S984" s="9"/>
    </row>
    <row r="985" spans="2:19" x14ac:dyDescent="0.2">
      <c r="B985" s="61">
        <f>IF(F985&lt;&gt;"",1+MAX($B$21:B984),"")</f>
        <v>609</v>
      </c>
      <c r="C985" s="196"/>
      <c r="D985" s="73" t="s">
        <v>812</v>
      </c>
      <c r="E985" s="14" t="s">
        <v>79</v>
      </c>
      <c r="F985" s="19">
        <v>2</v>
      </c>
      <c r="G985" s="48">
        <v>300</v>
      </c>
      <c r="H985" s="48">
        <f t="shared" si="317"/>
        <v>285.59999999999997</v>
      </c>
      <c r="I985" s="48">
        <f t="shared" si="318"/>
        <v>571.19999999999993</v>
      </c>
      <c r="J985" s="49">
        <v>2.9969999999999999</v>
      </c>
      <c r="K985" s="50">
        <f t="shared" si="319"/>
        <v>5.9939999999999998</v>
      </c>
      <c r="L985" s="28" t="s">
        <v>1082</v>
      </c>
      <c r="M985" s="29">
        <v>61.3</v>
      </c>
      <c r="N985" s="48">
        <f t="shared" si="320"/>
        <v>44.810299999999998</v>
      </c>
      <c r="O985" s="48">
        <f t="shared" si="321"/>
        <v>134.2964691</v>
      </c>
      <c r="P985" s="48">
        <f t="shared" si="322"/>
        <v>268.59293819999999</v>
      </c>
      <c r="Q985" s="48">
        <f t="shared" si="323"/>
        <v>839.79293819999998</v>
      </c>
      <c r="R985" s="41">
        <f t="shared" si="324"/>
        <v>1180.9058028113998</v>
      </c>
      <c r="S985" s="9"/>
    </row>
    <row r="986" spans="2:19" x14ac:dyDescent="0.2">
      <c r="B986" s="61">
        <f>IF(F986&lt;&gt;"",1+MAX($B$21:B985),"")</f>
        <v>610</v>
      </c>
      <c r="C986" s="196"/>
      <c r="D986" s="73" t="s">
        <v>831</v>
      </c>
      <c r="E986" s="14" t="s">
        <v>79</v>
      </c>
      <c r="F986" s="19">
        <v>8</v>
      </c>
      <c r="G986" s="12">
        <v>150</v>
      </c>
      <c r="H986" s="12">
        <f t="shared" si="317"/>
        <v>142.79999999999998</v>
      </c>
      <c r="I986" s="12">
        <f t="shared" si="318"/>
        <v>1142.3999999999999</v>
      </c>
      <c r="J986" s="11">
        <v>1.631</v>
      </c>
      <c r="K986" s="7">
        <f t="shared" si="319"/>
        <v>13.048</v>
      </c>
      <c r="L986" s="7" t="s">
        <v>1082</v>
      </c>
      <c r="M986" s="12">
        <v>61.3</v>
      </c>
      <c r="N986" s="48">
        <f t="shared" si="320"/>
        <v>44.810299999999998</v>
      </c>
      <c r="O986" s="48">
        <f t="shared" si="321"/>
        <v>73.085599299999998</v>
      </c>
      <c r="P986" s="48">
        <f t="shared" si="322"/>
        <v>584.68479439999999</v>
      </c>
      <c r="Q986" s="48">
        <f t="shared" si="323"/>
        <v>1727.0847943999997</v>
      </c>
      <c r="R986" s="41">
        <f t="shared" si="324"/>
        <v>2429.5925616087998</v>
      </c>
      <c r="S986" s="9"/>
    </row>
    <row r="987" spans="2:19" x14ac:dyDescent="0.2">
      <c r="B987" s="61">
        <f>IF(F987&lt;&gt;"",1+MAX($B$21:B986),"")</f>
        <v>611</v>
      </c>
      <c r="C987" s="196"/>
      <c r="D987" s="73" t="s">
        <v>821</v>
      </c>
      <c r="E987" s="14" t="s">
        <v>79</v>
      </c>
      <c r="F987" s="19">
        <v>1</v>
      </c>
      <c r="G987" s="12">
        <v>150</v>
      </c>
      <c r="H987" s="12">
        <f t="shared" si="317"/>
        <v>142.79999999999998</v>
      </c>
      <c r="I987" s="12">
        <f t="shared" si="318"/>
        <v>142.79999999999998</v>
      </c>
      <c r="J987" s="11">
        <v>1.631</v>
      </c>
      <c r="K987" s="7">
        <f t="shared" si="319"/>
        <v>1.631</v>
      </c>
      <c r="L987" s="7" t="s">
        <v>1082</v>
      </c>
      <c r="M987" s="12">
        <v>61.3</v>
      </c>
      <c r="N987" s="48">
        <f t="shared" si="320"/>
        <v>44.810299999999998</v>
      </c>
      <c r="O987" s="48">
        <f t="shared" si="321"/>
        <v>73.085599299999998</v>
      </c>
      <c r="P987" s="48">
        <f t="shared" si="322"/>
        <v>73.085599299999998</v>
      </c>
      <c r="Q987" s="48">
        <f t="shared" si="323"/>
        <v>215.88559929999997</v>
      </c>
      <c r="R987" s="41">
        <f t="shared" si="324"/>
        <v>303.69907020109997</v>
      </c>
      <c r="S987" s="9"/>
    </row>
    <row r="988" spans="2:19" x14ac:dyDescent="0.2">
      <c r="B988" s="61">
        <f>IF(F988&lt;&gt;"",1+MAX($B$21:B987),"")</f>
        <v>612</v>
      </c>
      <c r="C988" s="196"/>
      <c r="D988" s="73" t="s">
        <v>823</v>
      </c>
      <c r="E988" s="14" t="s">
        <v>79</v>
      </c>
      <c r="F988" s="19">
        <v>10</v>
      </c>
      <c r="G988" s="12">
        <v>150</v>
      </c>
      <c r="H988" s="12">
        <f t="shared" si="317"/>
        <v>142.79999999999998</v>
      </c>
      <c r="I988" s="12">
        <f t="shared" si="318"/>
        <v>1427.9999999999998</v>
      </c>
      <c r="J988" s="11">
        <v>1.631</v>
      </c>
      <c r="K988" s="7">
        <f t="shared" si="319"/>
        <v>16.309999999999999</v>
      </c>
      <c r="L988" s="7" t="s">
        <v>1082</v>
      </c>
      <c r="M988" s="12">
        <v>61.3</v>
      </c>
      <c r="N988" s="48">
        <f t="shared" si="320"/>
        <v>44.810299999999998</v>
      </c>
      <c r="O988" s="48">
        <f t="shared" si="321"/>
        <v>73.085599299999998</v>
      </c>
      <c r="P988" s="48">
        <f t="shared" si="322"/>
        <v>730.85599300000001</v>
      </c>
      <c r="Q988" s="48">
        <f t="shared" si="323"/>
        <v>2158.8559929999997</v>
      </c>
      <c r="R988" s="41">
        <f t="shared" si="324"/>
        <v>3036.9907020109995</v>
      </c>
      <c r="S988" s="9"/>
    </row>
    <row r="989" spans="2:19" x14ac:dyDescent="0.2">
      <c r="B989" s="61">
        <f>IF(F989&lt;&gt;"",1+MAX($B$21:B988),"")</f>
        <v>613</v>
      </c>
      <c r="C989" s="196"/>
      <c r="D989" s="73" t="s">
        <v>824</v>
      </c>
      <c r="E989" s="14" t="s">
        <v>79</v>
      </c>
      <c r="F989" s="19">
        <v>1</v>
      </c>
      <c r="G989" s="12">
        <v>150</v>
      </c>
      <c r="H989" s="12">
        <f t="shared" si="317"/>
        <v>142.79999999999998</v>
      </c>
      <c r="I989" s="12">
        <f t="shared" si="318"/>
        <v>142.79999999999998</v>
      </c>
      <c r="J989" s="11">
        <v>1.631</v>
      </c>
      <c r="K989" s="7">
        <f t="shared" si="319"/>
        <v>1.631</v>
      </c>
      <c r="L989" s="7" t="s">
        <v>1082</v>
      </c>
      <c r="M989" s="12">
        <v>61.3</v>
      </c>
      <c r="N989" s="48">
        <f t="shared" si="320"/>
        <v>44.810299999999998</v>
      </c>
      <c r="O989" s="48">
        <f t="shared" si="321"/>
        <v>73.085599299999998</v>
      </c>
      <c r="P989" s="48">
        <f t="shared" si="322"/>
        <v>73.085599299999998</v>
      </c>
      <c r="Q989" s="48">
        <f t="shared" si="323"/>
        <v>215.88559929999997</v>
      </c>
      <c r="R989" s="41">
        <f t="shared" si="324"/>
        <v>303.69907020109997</v>
      </c>
      <c r="S989" s="9"/>
    </row>
    <row r="990" spans="2:19" x14ac:dyDescent="0.2">
      <c r="B990" s="61" t="str">
        <f>IF(F990&lt;&gt;"",1+MAX($B$21:B989),"")</f>
        <v/>
      </c>
      <c r="C990" s="196"/>
      <c r="D990" s="73"/>
      <c r="E990" s="14"/>
      <c r="F990" s="19"/>
      <c r="G990" s="48"/>
      <c r="H990" s="48">
        <f t="shared" si="317"/>
        <v>0</v>
      </c>
      <c r="I990" s="48">
        <f t="shared" si="318"/>
        <v>0</v>
      </c>
      <c r="J990" s="49"/>
      <c r="K990" s="50">
        <f t="shared" si="319"/>
        <v>0</v>
      </c>
      <c r="L990" s="50"/>
      <c r="M990" s="48"/>
      <c r="N990" s="48">
        <f t="shared" si="320"/>
        <v>0</v>
      </c>
      <c r="O990" s="48">
        <f t="shared" si="321"/>
        <v>0</v>
      </c>
      <c r="P990" s="48">
        <f t="shared" si="322"/>
        <v>0</v>
      </c>
      <c r="Q990" s="48">
        <f t="shared" si="323"/>
        <v>0</v>
      </c>
      <c r="R990" s="41">
        <f t="shared" si="324"/>
        <v>0</v>
      </c>
    </row>
    <row r="991" spans="2:19" x14ac:dyDescent="0.2">
      <c r="B991" s="61" t="str">
        <f>IF(F991&lt;&gt;"",1+MAX($B$21:B990),"")</f>
        <v/>
      </c>
      <c r="C991" s="196"/>
      <c r="D991" s="75" t="s">
        <v>832</v>
      </c>
      <c r="E991" s="14"/>
      <c r="F991" s="19"/>
      <c r="G991" s="48"/>
      <c r="H991" s="48">
        <f t="shared" si="317"/>
        <v>0</v>
      </c>
      <c r="I991" s="48">
        <f t="shared" si="318"/>
        <v>0</v>
      </c>
      <c r="J991" s="49"/>
      <c r="K991" s="50">
        <f t="shared" si="319"/>
        <v>0</v>
      </c>
      <c r="L991" s="50"/>
      <c r="M991" s="48"/>
      <c r="N991" s="48">
        <f t="shared" si="320"/>
        <v>0</v>
      </c>
      <c r="O991" s="48">
        <f t="shared" si="321"/>
        <v>0</v>
      </c>
      <c r="P991" s="48">
        <f t="shared" si="322"/>
        <v>0</v>
      </c>
      <c r="Q991" s="48">
        <f t="shared" si="323"/>
        <v>0</v>
      </c>
      <c r="R991" s="41">
        <f t="shared" si="324"/>
        <v>0</v>
      </c>
      <c r="S991" s="9"/>
    </row>
    <row r="992" spans="2:19" x14ac:dyDescent="0.2">
      <c r="B992" s="61">
        <f>IF(F992&lt;&gt;"",1+MAX($B$21:B991),"")</f>
        <v>614</v>
      </c>
      <c r="C992" s="196"/>
      <c r="D992" s="73" t="s">
        <v>814</v>
      </c>
      <c r="E992" s="14" t="s">
        <v>79</v>
      </c>
      <c r="F992" s="19">
        <v>5</v>
      </c>
      <c r="G992" s="48">
        <v>85</v>
      </c>
      <c r="H992" s="48">
        <f t="shared" si="317"/>
        <v>80.92</v>
      </c>
      <c r="I992" s="48">
        <f t="shared" si="318"/>
        <v>404.6</v>
      </c>
      <c r="J992" s="49">
        <v>0.75</v>
      </c>
      <c r="K992" s="50">
        <f t="shared" si="319"/>
        <v>3.75</v>
      </c>
      <c r="L992" s="28" t="s">
        <v>1082</v>
      </c>
      <c r="M992" s="29">
        <v>61.3</v>
      </c>
      <c r="N992" s="48">
        <f t="shared" si="320"/>
        <v>44.810299999999998</v>
      </c>
      <c r="O992" s="48">
        <f t="shared" si="321"/>
        <v>33.607725000000002</v>
      </c>
      <c r="P992" s="48">
        <f t="shared" si="322"/>
        <v>168.03862500000002</v>
      </c>
      <c r="Q992" s="48">
        <f t="shared" si="323"/>
        <v>572.63862500000005</v>
      </c>
      <c r="R992" s="41">
        <f t="shared" si="324"/>
        <v>804.77455787500003</v>
      </c>
      <c r="S992" s="9"/>
    </row>
    <row r="993" spans="2:19" x14ac:dyDescent="0.2">
      <c r="B993" s="61">
        <f>IF(F993&lt;&gt;"",1+MAX($B$21:B992),"")</f>
        <v>615</v>
      </c>
      <c r="C993" s="196"/>
      <c r="D993" s="73" t="s">
        <v>816</v>
      </c>
      <c r="E993" s="14" t="s">
        <v>79</v>
      </c>
      <c r="F993" s="19">
        <v>5</v>
      </c>
      <c r="G993" s="12">
        <v>135</v>
      </c>
      <c r="H993" s="12">
        <f t="shared" si="317"/>
        <v>128.51999999999998</v>
      </c>
      <c r="I993" s="12">
        <f t="shared" si="318"/>
        <v>642.59999999999991</v>
      </c>
      <c r="J993" s="11">
        <v>1.232</v>
      </c>
      <c r="K993" s="7">
        <f t="shared" si="319"/>
        <v>6.16</v>
      </c>
      <c r="L993" s="28" t="s">
        <v>1082</v>
      </c>
      <c r="M993" s="29">
        <v>61.3</v>
      </c>
      <c r="N993" s="48">
        <f t="shared" si="320"/>
        <v>44.810299999999998</v>
      </c>
      <c r="O993" s="48">
        <f t="shared" si="321"/>
        <v>55.206289599999998</v>
      </c>
      <c r="P993" s="48">
        <f t="shared" si="322"/>
        <v>276.03144800000001</v>
      </c>
      <c r="Q993" s="48">
        <f t="shared" si="323"/>
        <v>918.63144799999986</v>
      </c>
      <c r="R993" s="41">
        <f t="shared" si="324"/>
        <v>1291.2235162959998</v>
      </c>
      <c r="S993" s="9"/>
    </row>
    <row r="994" spans="2:19" x14ac:dyDescent="0.2">
      <c r="B994" s="61">
        <f>IF(F994&lt;&gt;"",1+MAX($B$21:B993),"")</f>
        <v>616</v>
      </c>
      <c r="C994" s="196"/>
      <c r="D994" s="73" t="s">
        <v>817</v>
      </c>
      <c r="E994" s="14" t="s">
        <v>79</v>
      </c>
      <c r="F994" s="19">
        <v>5</v>
      </c>
      <c r="G994" s="48">
        <v>65</v>
      </c>
      <c r="H994" s="48">
        <f t="shared" si="317"/>
        <v>61.879999999999995</v>
      </c>
      <c r="I994" s="48">
        <f t="shared" si="318"/>
        <v>309.39999999999998</v>
      </c>
      <c r="J994" s="49">
        <v>0.75</v>
      </c>
      <c r="K994" s="50">
        <f t="shared" si="319"/>
        <v>3.75</v>
      </c>
      <c r="L994" s="28" t="s">
        <v>1082</v>
      </c>
      <c r="M994" s="29">
        <v>61.3</v>
      </c>
      <c r="N994" s="48">
        <f t="shared" si="320"/>
        <v>44.810299999999998</v>
      </c>
      <c r="O994" s="48">
        <f t="shared" si="321"/>
        <v>33.607725000000002</v>
      </c>
      <c r="P994" s="48">
        <f t="shared" si="322"/>
        <v>168.03862500000002</v>
      </c>
      <c r="Q994" s="48">
        <f t="shared" si="323"/>
        <v>477.438625</v>
      </c>
      <c r="R994" s="41">
        <f t="shared" si="324"/>
        <v>671.83727787500004</v>
      </c>
      <c r="S994" s="9"/>
    </row>
    <row r="995" spans="2:19" x14ac:dyDescent="0.2">
      <c r="B995" s="61">
        <f>IF(F995&lt;&gt;"",1+MAX($B$21:B994),"")</f>
        <v>617</v>
      </c>
      <c r="C995" s="196"/>
      <c r="D995" s="73" t="s">
        <v>818</v>
      </c>
      <c r="E995" s="14" t="s">
        <v>79</v>
      </c>
      <c r="F995" s="19">
        <v>1</v>
      </c>
      <c r="G995" s="48">
        <v>110</v>
      </c>
      <c r="H995" s="48">
        <f t="shared" si="317"/>
        <v>104.72</v>
      </c>
      <c r="I995" s="48">
        <f t="shared" si="318"/>
        <v>104.72</v>
      </c>
      <c r="J995" s="49">
        <v>1.29</v>
      </c>
      <c r="K995" s="50">
        <f t="shared" si="319"/>
        <v>1.29</v>
      </c>
      <c r="L995" s="28" t="s">
        <v>1082</v>
      </c>
      <c r="M995" s="29">
        <v>61.3</v>
      </c>
      <c r="N995" s="48">
        <f t="shared" si="320"/>
        <v>44.810299999999998</v>
      </c>
      <c r="O995" s="48">
        <f t="shared" si="321"/>
        <v>57.805287</v>
      </c>
      <c r="P995" s="48">
        <f t="shared" si="322"/>
        <v>57.805287</v>
      </c>
      <c r="Q995" s="48">
        <f t="shared" si="323"/>
        <v>162.52528699999999</v>
      </c>
      <c r="R995" s="41">
        <f t="shared" si="324"/>
        <v>228.71915254899994</v>
      </c>
      <c r="S995" s="9"/>
    </row>
    <row r="996" spans="2:19" x14ac:dyDescent="0.2">
      <c r="B996" s="61">
        <f>IF(F996&lt;&gt;"",1+MAX($B$21:B995),"")</f>
        <v>618</v>
      </c>
      <c r="C996" s="196"/>
      <c r="D996" s="73" t="s">
        <v>820</v>
      </c>
      <c r="E996" s="14" t="s">
        <v>79</v>
      </c>
      <c r="F996" s="19">
        <v>1</v>
      </c>
      <c r="G996" s="48">
        <v>180</v>
      </c>
      <c r="H996" s="48">
        <f t="shared" si="317"/>
        <v>171.35999999999999</v>
      </c>
      <c r="I996" s="48">
        <f t="shared" si="318"/>
        <v>171.35999999999999</v>
      </c>
      <c r="J996" s="49">
        <v>1</v>
      </c>
      <c r="K996" s="50">
        <f t="shared" si="319"/>
        <v>1</v>
      </c>
      <c r="L996" s="28" t="s">
        <v>1082</v>
      </c>
      <c r="M996" s="29">
        <v>61.3</v>
      </c>
      <c r="N996" s="48">
        <f t="shared" si="320"/>
        <v>44.810299999999998</v>
      </c>
      <c r="O996" s="48">
        <f t="shared" si="321"/>
        <v>44.810299999999998</v>
      </c>
      <c r="P996" s="48">
        <f t="shared" si="322"/>
        <v>44.810299999999998</v>
      </c>
      <c r="Q996" s="48">
        <f t="shared" si="323"/>
        <v>216.1703</v>
      </c>
      <c r="R996" s="41">
        <f t="shared" si="324"/>
        <v>303.23140210000003</v>
      </c>
      <c r="S996" s="9"/>
    </row>
    <row r="997" spans="2:19" x14ac:dyDescent="0.2">
      <c r="B997" s="61" t="str">
        <f>IF(F997&lt;&gt;"",1+MAX($B$21:B996),"")</f>
        <v/>
      </c>
      <c r="C997" s="196"/>
      <c r="D997" s="73"/>
      <c r="E997" s="14"/>
      <c r="F997" s="19"/>
      <c r="G997" s="48"/>
      <c r="H997" s="48">
        <f t="shared" si="317"/>
        <v>0</v>
      </c>
      <c r="I997" s="48">
        <f t="shared" si="318"/>
        <v>0</v>
      </c>
      <c r="J997" s="49"/>
      <c r="K997" s="50">
        <f t="shared" si="319"/>
        <v>0</v>
      </c>
      <c r="L997" s="50"/>
      <c r="M997" s="48"/>
      <c r="N997" s="48">
        <f t="shared" si="320"/>
        <v>0</v>
      </c>
      <c r="O997" s="48">
        <f t="shared" si="321"/>
        <v>0</v>
      </c>
      <c r="P997" s="48">
        <f t="shared" si="322"/>
        <v>0</v>
      </c>
      <c r="Q997" s="48">
        <f t="shared" si="323"/>
        <v>0</v>
      </c>
      <c r="R997" s="41">
        <f t="shared" si="324"/>
        <v>0</v>
      </c>
      <c r="S997" s="9"/>
    </row>
    <row r="998" spans="2:19" x14ac:dyDescent="0.2">
      <c r="B998" s="61" t="str">
        <f>IF(F998&lt;&gt;"",1+MAX($B$21:B997),"")</f>
        <v/>
      </c>
      <c r="C998" s="196"/>
      <c r="D998" s="75" t="s">
        <v>140</v>
      </c>
      <c r="E998" s="14"/>
      <c r="F998" s="19"/>
      <c r="G998" s="48"/>
      <c r="H998" s="48">
        <f t="shared" si="317"/>
        <v>0</v>
      </c>
      <c r="I998" s="48">
        <f t="shared" si="318"/>
        <v>0</v>
      </c>
      <c r="J998" s="49"/>
      <c r="K998" s="50">
        <f t="shared" si="319"/>
        <v>0</v>
      </c>
      <c r="L998" s="50"/>
      <c r="M998" s="48"/>
      <c r="N998" s="48">
        <f t="shared" si="320"/>
        <v>0</v>
      </c>
      <c r="O998" s="48">
        <f t="shared" si="321"/>
        <v>0</v>
      </c>
      <c r="P998" s="48">
        <f t="shared" si="322"/>
        <v>0</v>
      </c>
      <c r="Q998" s="48">
        <f t="shared" si="323"/>
        <v>0</v>
      </c>
      <c r="R998" s="41">
        <f t="shared" si="324"/>
        <v>0</v>
      </c>
      <c r="S998" s="9"/>
    </row>
    <row r="999" spans="2:19" x14ac:dyDescent="0.2">
      <c r="B999" s="61">
        <f>IF(F999&lt;&gt;"",1+MAX($B$21:B998),"")</f>
        <v>619</v>
      </c>
      <c r="C999" s="196"/>
      <c r="D999" s="73" t="s">
        <v>825</v>
      </c>
      <c r="E999" s="14" t="s">
        <v>79</v>
      </c>
      <c r="F999" s="19">
        <v>2</v>
      </c>
      <c r="G999" s="48">
        <v>250</v>
      </c>
      <c r="H999" s="48">
        <f t="shared" si="317"/>
        <v>238</v>
      </c>
      <c r="I999" s="48">
        <f t="shared" si="318"/>
        <v>476</v>
      </c>
      <c r="J999" s="49">
        <v>1.25</v>
      </c>
      <c r="K999" s="50">
        <f t="shared" si="319"/>
        <v>2.5</v>
      </c>
      <c r="L999" s="28" t="s">
        <v>1082</v>
      </c>
      <c r="M999" s="29">
        <v>61.3</v>
      </c>
      <c r="N999" s="48">
        <f t="shared" si="320"/>
        <v>44.810299999999998</v>
      </c>
      <c r="O999" s="48">
        <f t="shared" si="321"/>
        <v>56.012874999999994</v>
      </c>
      <c r="P999" s="48">
        <f t="shared" si="322"/>
        <v>112.02574999999999</v>
      </c>
      <c r="Q999" s="48">
        <f t="shared" si="323"/>
        <v>588.02575000000002</v>
      </c>
      <c r="R999" s="41">
        <f t="shared" si="324"/>
        <v>824.54714525000009</v>
      </c>
      <c r="S999" s="9"/>
    </row>
    <row r="1000" spans="2:19" x14ac:dyDescent="0.2">
      <c r="B1000" s="61">
        <f>IF(F1000&lt;&gt;"",1+MAX($B$21:B999),"")</f>
        <v>620</v>
      </c>
      <c r="C1000" s="196"/>
      <c r="D1000" s="73" t="s">
        <v>826</v>
      </c>
      <c r="E1000" s="14" t="s">
        <v>79</v>
      </c>
      <c r="F1000" s="19">
        <v>1</v>
      </c>
      <c r="G1000" s="48">
        <v>2500</v>
      </c>
      <c r="H1000" s="48">
        <f t="shared" si="317"/>
        <v>2380</v>
      </c>
      <c r="I1000" s="48">
        <f t="shared" si="318"/>
        <v>2380</v>
      </c>
      <c r="J1000" s="49">
        <v>6</v>
      </c>
      <c r="K1000" s="50">
        <f t="shared" si="319"/>
        <v>6</v>
      </c>
      <c r="L1000" s="28" t="s">
        <v>1082</v>
      </c>
      <c r="M1000" s="29">
        <v>61.3</v>
      </c>
      <c r="N1000" s="48">
        <f t="shared" si="320"/>
        <v>44.810299999999998</v>
      </c>
      <c r="O1000" s="48">
        <f t="shared" si="321"/>
        <v>268.86180000000002</v>
      </c>
      <c r="P1000" s="48">
        <f t="shared" si="322"/>
        <v>268.86180000000002</v>
      </c>
      <c r="Q1000" s="48">
        <f t="shared" si="323"/>
        <v>2648.8618000000001</v>
      </c>
      <c r="R1000" s="41">
        <f t="shared" si="324"/>
        <v>3707.0977886000005</v>
      </c>
      <c r="S1000" s="9"/>
    </row>
    <row r="1001" spans="2:19" x14ac:dyDescent="0.2">
      <c r="B1001" s="61">
        <f>IF(F1001&lt;&gt;"",1+MAX($B$21:B1000),"")</f>
        <v>621</v>
      </c>
      <c r="C1001" s="197"/>
      <c r="D1001" s="73" t="s">
        <v>827</v>
      </c>
      <c r="E1001" s="14" t="s">
        <v>79</v>
      </c>
      <c r="F1001" s="19">
        <v>1</v>
      </c>
      <c r="G1001" s="48">
        <v>250</v>
      </c>
      <c r="H1001" s="48">
        <f t="shared" si="317"/>
        <v>238</v>
      </c>
      <c r="I1001" s="48">
        <f t="shared" si="318"/>
        <v>238</v>
      </c>
      <c r="J1001" s="49">
        <v>1</v>
      </c>
      <c r="K1001" s="50">
        <f t="shared" si="319"/>
        <v>1</v>
      </c>
      <c r="L1001" s="28" t="s">
        <v>1082</v>
      </c>
      <c r="M1001" s="29">
        <v>61.3</v>
      </c>
      <c r="N1001" s="48">
        <f t="shared" si="320"/>
        <v>44.810299999999998</v>
      </c>
      <c r="O1001" s="48">
        <f t="shared" si="321"/>
        <v>44.810299999999998</v>
      </c>
      <c r="P1001" s="48">
        <f t="shared" si="322"/>
        <v>44.810299999999998</v>
      </c>
      <c r="Q1001" s="48">
        <f t="shared" si="323"/>
        <v>282.81029999999998</v>
      </c>
      <c r="R1001" s="41">
        <f t="shared" si="324"/>
        <v>396.28749809999999</v>
      </c>
      <c r="S1001" s="9"/>
    </row>
    <row r="1002" spans="2:19" x14ac:dyDescent="0.2">
      <c r="B1002" s="61" t="str">
        <f>IF(F1002&lt;&gt;"",1+MAX($B$21:B1001),"")</f>
        <v/>
      </c>
      <c r="C1002" s="67"/>
      <c r="D1002" s="73"/>
      <c r="E1002" s="14"/>
      <c r="F1002" s="19"/>
      <c r="G1002" s="48"/>
      <c r="H1002" s="48">
        <f t="shared" si="317"/>
        <v>0</v>
      </c>
      <c r="I1002" s="48">
        <f t="shared" si="318"/>
        <v>0</v>
      </c>
      <c r="J1002" s="49"/>
      <c r="K1002" s="50">
        <f t="shared" si="319"/>
        <v>0</v>
      </c>
      <c r="L1002" s="50"/>
      <c r="M1002" s="48"/>
      <c r="N1002" s="48">
        <f t="shared" si="320"/>
        <v>0</v>
      </c>
      <c r="O1002" s="48">
        <f t="shared" si="321"/>
        <v>0</v>
      </c>
      <c r="P1002" s="48">
        <f t="shared" si="322"/>
        <v>0</v>
      </c>
      <c r="Q1002" s="48">
        <f t="shared" si="323"/>
        <v>0</v>
      </c>
      <c r="R1002" s="41">
        <f t="shared" si="324"/>
        <v>0</v>
      </c>
      <c r="S1002" s="9"/>
    </row>
    <row r="1003" spans="2:19" x14ac:dyDescent="0.2">
      <c r="B1003" s="62" t="str">
        <f>IF(F1003&lt;&gt;"",1+MAX($B$21:B1002),"")</f>
        <v/>
      </c>
      <c r="C1003" s="68"/>
      <c r="D1003" s="74" t="s">
        <v>835</v>
      </c>
      <c r="E1003" s="14"/>
      <c r="F1003" s="19"/>
      <c r="G1003" s="48"/>
      <c r="H1003" s="48">
        <f t="shared" si="317"/>
        <v>0</v>
      </c>
      <c r="I1003" s="48">
        <f t="shared" si="318"/>
        <v>0</v>
      </c>
      <c r="J1003" s="49"/>
      <c r="K1003" s="50">
        <f t="shared" si="319"/>
        <v>0</v>
      </c>
      <c r="L1003" s="50"/>
      <c r="M1003" s="48"/>
      <c r="N1003" s="48">
        <f t="shared" si="320"/>
        <v>0</v>
      </c>
      <c r="O1003" s="48">
        <f t="shared" si="321"/>
        <v>0</v>
      </c>
      <c r="P1003" s="48">
        <f t="shared" si="322"/>
        <v>0</v>
      </c>
      <c r="Q1003" s="48">
        <f t="shared" si="323"/>
        <v>0</v>
      </c>
      <c r="R1003" s="41">
        <f t="shared" si="324"/>
        <v>0</v>
      </c>
    </row>
    <row r="1004" spans="2:19" x14ac:dyDescent="0.2">
      <c r="B1004" s="61" t="str">
        <f>IF(F1004&lt;&gt;"",1+MAX($B$21:B1003),"")</f>
        <v/>
      </c>
      <c r="C1004" s="67"/>
      <c r="D1004" s="73"/>
      <c r="E1004" s="14"/>
      <c r="F1004" s="19"/>
      <c r="G1004" s="48"/>
      <c r="H1004" s="48">
        <f t="shared" si="317"/>
        <v>0</v>
      </c>
      <c r="I1004" s="48">
        <f t="shared" si="318"/>
        <v>0</v>
      </c>
      <c r="J1004" s="49"/>
      <c r="K1004" s="50">
        <f t="shared" si="319"/>
        <v>0</v>
      </c>
      <c r="L1004" s="50"/>
      <c r="M1004" s="48"/>
      <c r="N1004" s="48">
        <f t="shared" si="320"/>
        <v>0</v>
      </c>
      <c r="O1004" s="48">
        <f t="shared" si="321"/>
        <v>0</v>
      </c>
      <c r="P1004" s="48">
        <f t="shared" si="322"/>
        <v>0</v>
      </c>
      <c r="Q1004" s="48">
        <f t="shared" si="323"/>
        <v>0</v>
      </c>
      <c r="R1004" s="41">
        <f t="shared" si="324"/>
        <v>0</v>
      </c>
      <c r="S1004" s="9"/>
    </row>
    <row r="1005" spans="2:19" x14ac:dyDescent="0.2">
      <c r="B1005" s="61" t="str">
        <f>IF(F1005&lt;&gt;"",1+MAX($B$21:B1004),"")</f>
        <v/>
      </c>
      <c r="C1005" s="198" t="s">
        <v>848</v>
      </c>
      <c r="D1005" s="75" t="s">
        <v>135</v>
      </c>
      <c r="E1005" s="14"/>
      <c r="F1005" s="19"/>
      <c r="G1005" s="48"/>
      <c r="H1005" s="48">
        <f t="shared" si="317"/>
        <v>0</v>
      </c>
      <c r="I1005" s="48">
        <f t="shared" si="318"/>
        <v>0</v>
      </c>
      <c r="J1005" s="49"/>
      <c r="K1005" s="50">
        <f t="shared" si="319"/>
        <v>0</v>
      </c>
      <c r="L1005" s="50"/>
      <c r="M1005" s="48"/>
      <c r="N1005" s="48">
        <f t="shared" si="320"/>
        <v>0</v>
      </c>
      <c r="O1005" s="48">
        <f t="shared" si="321"/>
        <v>0</v>
      </c>
      <c r="P1005" s="48">
        <f t="shared" si="322"/>
        <v>0</v>
      </c>
      <c r="Q1005" s="48">
        <f t="shared" si="323"/>
        <v>0</v>
      </c>
      <c r="R1005" s="41">
        <f t="shared" si="324"/>
        <v>0</v>
      </c>
      <c r="S1005" s="9"/>
    </row>
    <row r="1006" spans="2:19" ht="25.5" x14ac:dyDescent="0.2">
      <c r="B1006" s="61">
        <f>IF(F1006&lt;&gt;"",1+MAX($B$21:B1005),"")</f>
        <v>622</v>
      </c>
      <c r="C1006" s="196"/>
      <c r="D1006" s="73" t="s">
        <v>847</v>
      </c>
      <c r="E1006" s="14" t="s">
        <v>60</v>
      </c>
      <c r="F1006" s="19">
        <v>1</v>
      </c>
      <c r="G1006" s="12">
        <v>765</v>
      </c>
      <c r="H1006" s="12">
        <f t="shared" si="317"/>
        <v>728.28</v>
      </c>
      <c r="I1006" s="12">
        <f t="shared" si="318"/>
        <v>728.28</v>
      </c>
      <c r="J1006" s="11">
        <v>8.5</v>
      </c>
      <c r="K1006" s="7">
        <f t="shared" si="319"/>
        <v>8.5</v>
      </c>
      <c r="L1006" s="28" t="s">
        <v>1086</v>
      </c>
      <c r="M1006" s="29">
        <v>61.3</v>
      </c>
      <c r="N1006" s="48">
        <f t="shared" si="320"/>
        <v>44.810299999999998</v>
      </c>
      <c r="O1006" s="48">
        <f t="shared" si="321"/>
        <v>380.88754999999998</v>
      </c>
      <c r="P1006" s="48">
        <f t="shared" si="322"/>
        <v>380.88754999999998</v>
      </c>
      <c r="Q1006" s="48">
        <f t="shared" si="323"/>
        <v>1109.1675499999999</v>
      </c>
      <c r="R1006" s="41">
        <f t="shared" si="324"/>
        <v>1560.4967258499998</v>
      </c>
      <c r="S1006" s="9"/>
    </row>
    <row r="1007" spans="2:19" x14ac:dyDescent="0.2">
      <c r="B1007" s="61" t="str">
        <f>IF(F1007&lt;&gt;"",1+MAX($B$21:B1006),"")</f>
        <v/>
      </c>
      <c r="C1007" s="196"/>
      <c r="D1007" s="73"/>
      <c r="E1007" s="14"/>
      <c r="F1007" s="19"/>
      <c r="G1007" s="48"/>
      <c r="H1007" s="48">
        <f t="shared" si="317"/>
        <v>0</v>
      </c>
      <c r="I1007" s="48">
        <f t="shared" si="318"/>
        <v>0</v>
      </c>
      <c r="J1007" s="49"/>
      <c r="K1007" s="50">
        <f t="shared" si="319"/>
        <v>0</v>
      </c>
      <c r="L1007" s="50"/>
      <c r="M1007" s="48"/>
      <c r="N1007" s="48">
        <f t="shared" si="320"/>
        <v>0</v>
      </c>
      <c r="O1007" s="48">
        <f t="shared" si="321"/>
        <v>0</v>
      </c>
      <c r="P1007" s="48">
        <f t="shared" si="322"/>
        <v>0</v>
      </c>
      <c r="Q1007" s="48">
        <f t="shared" si="323"/>
        <v>0</v>
      </c>
      <c r="R1007" s="41">
        <f t="shared" si="324"/>
        <v>0</v>
      </c>
      <c r="S1007" s="9"/>
    </row>
    <row r="1008" spans="2:19" x14ac:dyDescent="0.2">
      <c r="B1008" s="61" t="str">
        <f>IF(F1008&lt;&gt;"",1+MAX($B$21:B1007),"")</f>
        <v/>
      </c>
      <c r="C1008" s="196"/>
      <c r="D1008" s="75" t="s">
        <v>842</v>
      </c>
      <c r="E1008" s="14"/>
      <c r="F1008" s="19"/>
      <c r="G1008" s="48"/>
      <c r="H1008" s="48">
        <f t="shared" si="317"/>
        <v>0</v>
      </c>
      <c r="I1008" s="48">
        <f t="shared" si="318"/>
        <v>0</v>
      </c>
      <c r="J1008" s="49"/>
      <c r="K1008" s="50">
        <f t="shared" si="319"/>
        <v>0</v>
      </c>
      <c r="L1008" s="50"/>
      <c r="M1008" s="48"/>
      <c r="N1008" s="48">
        <f t="shared" si="320"/>
        <v>0</v>
      </c>
      <c r="O1008" s="48">
        <f t="shared" si="321"/>
        <v>0</v>
      </c>
      <c r="P1008" s="48">
        <f t="shared" si="322"/>
        <v>0</v>
      </c>
      <c r="Q1008" s="48">
        <f t="shared" si="323"/>
        <v>0</v>
      </c>
      <c r="R1008" s="41">
        <f t="shared" si="324"/>
        <v>0</v>
      </c>
      <c r="S1008" s="9"/>
    </row>
    <row r="1009" spans="2:36" x14ac:dyDescent="0.2">
      <c r="B1009" s="61">
        <f>IF(F1009&lt;&gt;"",1+MAX($B$21:B1008),"")</f>
        <v>623</v>
      </c>
      <c r="C1009" s="196"/>
      <c r="D1009" s="73" t="s">
        <v>836</v>
      </c>
      <c r="E1009" s="14" t="s">
        <v>79</v>
      </c>
      <c r="F1009" s="19">
        <v>1</v>
      </c>
      <c r="G1009" s="48">
        <v>3500</v>
      </c>
      <c r="H1009" s="48">
        <f t="shared" si="317"/>
        <v>3332</v>
      </c>
      <c r="I1009" s="48">
        <f t="shared" si="318"/>
        <v>3332</v>
      </c>
      <c r="J1009" s="49">
        <v>8</v>
      </c>
      <c r="K1009" s="50">
        <f t="shared" si="319"/>
        <v>8</v>
      </c>
      <c r="L1009" s="28" t="s">
        <v>1082</v>
      </c>
      <c r="M1009" s="29">
        <v>61.3</v>
      </c>
      <c r="N1009" s="48">
        <f t="shared" si="320"/>
        <v>44.810299999999998</v>
      </c>
      <c r="O1009" s="48">
        <f t="shared" si="321"/>
        <v>358.48239999999998</v>
      </c>
      <c r="P1009" s="48">
        <f t="shared" si="322"/>
        <v>358.48239999999998</v>
      </c>
      <c r="Q1009" s="48">
        <f t="shared" si="323"/>
        <v>3690.4823999999999</v>
      </c>
      <c r="R1009" s="41">
        <f t="shared" si="324"/>
        <v>5164.3591847999996</v>
      </c>
      <c r="S1009" s="9"/>
    </row>
    <row r="1010" spans="2:36" x14ac:dyDescent="0.2">
      <c r="B1010" s="61">
        <f>IF(F1010&lt;&gt;"",1+MAX($B$21:B1009),"")</f>
        <v>624</v>
      </c>
      <c r="C1010" s="196"/>
      <c r="D1010" s="73" t="s">
        <v>837</v>
      </c>
      <c r="E1010" s="14" t="s">
        <v>79</v>
      </c>
      <c r="F1010" s="19">
        <v>1</v>
      </c>
      <c r="G1010" s="48">
        <v>900</v>
      </c>
      <c r="H1010" s="48">
        <f t="shared" si="317"/>
        <v>856.8</v>
      </c>
      <c r="I1010" s="48">
        <f t="shared" si="318"/>
        <v>856.8</v>
      </c>
      <c r="J1010" s="49">
        <v>3</v>
      </c>
      <c r="K1010" s="50">
        <f t="shared" si="319"/>
        <v>3</v>
      </c>
      <c r="L1010" s="28" t="s">
        <v>1082</v>
      </c>
      <c r="M1010" s="29">
        <v>61.3</v>
      </c>
      <c r="N1010" s="48">
        <f t="shared" si="320"/>
        <v>44.810299999999998</v>
      </c>
      <c r="O1010" s="48">
        <f t="shared" si="321"/>
        <v>134.43090000000001</v>
      </c>
      <c r="P1010" s="48">
        <f t="shared" si="322"/>
        <v>134.43090000000001</v>
      </c>
      <c r="Q1010" s="48">
        <f t="shared" si="323"/>
        <v>991.23090000000002</v>
      </c>
      <c r="R1010" s="41">
        <f t="shared" si="324"/>
        <v>1388.2684143000001</v>
      </c>
      <c r="S1010" s="9"/>
    </row>
    <row r="1011" spans="2:36" x14ac:dyDescent="0.2">
      <c r="B1011" s="61" t="str">
        <f>IF(F1011&lt;&gt;"",1+MAX($B$21:B1010),"")</f>
        <v/>
      </c>
      <c r="C1011" s="196"/>
      <c r="D1011" s="73"/>
      <c r="E1011" s="14"/>
      <c r="F1011" s="19"/>
      <c r="G1011" s="48"/>
      <c r="H1011" s="48">
        <f t="shared" si="317"/>
        <v>0</v>
      </c>
      <c r="I1011" s="48">
        <f t="shared" si="318"/>
        <v>0</v>
      </c>
      <c r="J1011" s="49"/>
      <c r="K1011" s="50">
        <f t="shared" si="319"/>
        <v>0</v>
      </c>
      <c r="L1011" s="50"/>
      <c r="M1011" s="48"/>
      <c r="N1011" s="48">
        <f t="shared" si="320"/>
        <v>0</v>
      </c>
      <c r="O1011" s="48">
        <f t="shared" si="321"/>
        <v>0</v>
      </c>
      <c r="P1011" s="48">
        <f t="shared" si="322"/>
        <v>0</v>
      </c>
      <c r="Q1011" s="48">
        <f t="shared" si="323"/>
        <v>0</v>
      </c>
      <c r="R1011" s="41">
        <f t="shared" si="324"/>
        <v>0</v>
      </c>
      <c r="S1011" s="9"/>
    </row>
    <row r="1012" spans="2:36" x14ac:dyDescent="0.2">
      <c r="B1012" s="61" t="str">
        <f>IF(F1012&lt;&gt;"",1+MAX($B$21:B1011),"")</f>
        <v/>
      </c>
      <c r="C1012" s="196"/>
      <c r="D1012" s="75" t="s">
        <v>843</v>
      </c>
      <c r="E1012" s="14"/>
      <c r="F1012" s="19"/>
      <c r="G1012" s="48"/>
      <c r="H1012" s="48">
        <f t="shared" si="317"/>
        <v>0</v>
      </c>
      <c r="I1012" s="48">
        <f t="shared" si="318"/>
        <v>0</v>
      </c>
      <c r="J1012" s="49"/>
      <c r="K1012" s="50">
        <f t="shared" si="319"/>
        <v>0</v>
      </c>
      <c r="L1012" s="50"/>
      <c r="M1012" s="48"/>
      <c r="N1012" s="48">
        <f t="shared" si="320"/>
        <v>0</v>
      </c>
      <c r="O1012" s="48">
        <f t="shared" si="321"/>
        <v>0</v>
      </c>
      <c r="P1012" s="48">
        <f t="shared" si="322"/>
        <v>0</v>
      </c>
      <c r="Q1012" s="48">
        <f t="shared" si="323"/>
        <v>0</v>
      </c>
      <c r="R1012" s="41">
        <f t="shared" si="324"/>
        <v>0</v>
      </c>
      <c r="S1012" s="9"/>
    </row>
    <row r="1013" spans="2:36" x14ac:dyDescent="0.2">
      <c r="B1013" s="61">
        <f>IF(F1013&lt;&gt;"",1+MAX($B$21:B1012),"")</f>
        <v>625</v>
      </c>
      <c r="C1013" s="196"/>
      <c r="D1013" s="73" t="s">
        <v>838</v>
      </c>
      <c r="E1013" s="14" t="s">
        <v>79</v>
      </c>
      <c r="F1013" s="19">
        <v>1</v>
      </c>
      <c r="G1013" s="48">
        <v>120</v>
      </c>
      <c r="H1013" s="48">
        <f t="shared" si="317"/>
        <v>114.24</v>
      </c>
      <c r="I1013" s="48">
        <f t="shared" si="318"/>
        <v>114.24</v>
      </c>
      <c r="J1013" s="49">
        <v>1.29</v>
      </c>
      <c r="K1013" s="50">
        <f t="shared" si="319"/>
        <v>1.29</v>
      </c>
      <c r="L1013" s="28" t="s">
        <v>1082</v>
      </c>
      <c r="M1013" s="29">
        <v>61.3</v>
      </c>
      <c r="N1013" s="48">
        <f t="shared" si="320"/>
        <v>44.810299999999998</v>
      </c>
      <c r="O1013" s="48">
        <f t="shared" si="321"/>
        <v>57.805287</v>
      </c>
      <c r="P1013" s="48">
        <f t="shared" si="322"/>
        <v>57.805287</v>
      </c>
      <c r="Q1013" s="48">
        <f t="shared" si="323"/>
        <v>172.045287</v>
      </c>
      <c r="R1013" s="41">
        <f t="shared" si="324"/>
        <v>242.01288054900002</v>
      </c>
      <c r="S1013" s="9"/>
    </row>
    <row r="1014" spans="2:36" x14ac:dyDescent="0.2">
      <c r="B1014" s="61" t="str">
        <f>IF(F1014&lt;&gt;"",1+MAX($B$21:B1013),"")</f>
        <v/>
      </c>
      <c r="C1014" s="196"/>
      <c r="D1014" s="73"/>
      <c r="E1014" s="14"/>
      <c r="F1014" s="19"/>
      <c r="G1014" s="48"/>
      <c r="H1014" s="48">
        <f t="shared" si="317"/>
        <v>0</v>
      </c>
      <c r="I1014" s="48">
        <f t="shared" si="318"/>
        <v>0</v>
      </c>
      <c r="J1014" s="49"/>
      <c r="K1014" s="50">
        <f t="shared" si="319"/>
        <v>0</v>
      </c>
      <c r="L1014" s="50"/>
      <c r="M1014" s="48"/>
      <c r="N1014" s="48">
        <f t="shared" si="320"/>
        <v>0</v>
      </c>
      <c r="O1014" s="48">
        <f t="shared" si="321"/>
        <v>0</v>
      </c>
      <c r="P1014" s="48">
        <f t="shared" si="322"/>
        <v>0</v>
      </c>
      <c r="Q1014" s="48">
        <f t="shared" si="323"/>
        <v>0</v>
      </c>
      <c r="R1014" s="41">
        <f t="shared" si="324"/>
        <v>0</v>
      </c>
      <c r="S1014" s="9"/>
    </row>
    <row r="1015" spans="2:36" x14ac:dyDescent="0.2">
      <c r="B1015" s="61" t="str">
        <f>IF(F1015&lt;&gt;"",1+MAX($B$21:B1014),"")</f>
        <v/>
      </c>
      <c r="C1015" s="196"/>
      <c r="D1015" s="75" t="s">
        <v>844</v>
      </c>
      <c r="E1015" s="14"/>
      <c r="F1015" s="19"/>
      <c r="G1015" s="48"/>
      <c r="H1015" s="48">
        <f t="shared" si="317"/>
        <v>0</v>
      </c>
      <c r="I1015" s="48">
        <f t="shared" si="318"/>
        <v>0</v>
      </c>
      <c r="J1015" s="49"/>
      <c r="K1015" s="50">
        <f t="shared" si="319"/>
        <v>0</v>
      </c>
      <c r="L1015" s="50"/>
      <c r="M1015" s="48"/>
      <c r="N1015" s="48">
        <f t="shared" si="320"/>
        <v>0</v>
      </c>
      <c r="O1015" s="48">
        <f t="shared" si="321"/>
        <v>0</v>
      </c>
      <c r="P1015" s="48">
        <f t="shared" si="322"/>
        <v>0</v>
      </c>
      <c r="Q1015" s="48">
        <f t="shared" si="323"/>
        <v>0</v>
      </c>
      <c r="R1015" s="41">
        <f t="shared" si="324"/>
        <v>0</v>
      </c>
      <c r="S1015" s="9"/>
    </row>
    <row r="1016" spans="2:36" x14ac:dyDescent="0.2">
      <c r="B1016" s="61">
        <f>IF(F1016&lt;&gt;"",1+MAX($B$21:B1015),"")</f>
        <v>626</v>
      </c>
      <c r="C1016" s="196"/>
      <c r="D1016" s="73" t="s">
        <v>839</v>
      </c>
      <c r="E1016" s="14" t="s">
        <v>79</v>
      </c>
      <c r="F1016" s="19">
        <v>2</v>
      </c>
      <c r="G1016" s="12">
        <v>116</v>
      </c>
      <c r="H1016" s="12">
        <f t="shared" si="317"/>
        <v>110.43199999999999</v>
      </c>
      <c r="I1016" s="12">
        <f t="shared" si="318"/>
        <v>220.86399999999998</v>
      </c>
      <c r="J1016" s="11">
        <v>1.333</v>
      </c>
      <c r="K1016" s="7">
        <f t="shared" si="319"/>
        <v>2.6659999999999999</v>
      </c>
      <c r="L1016" s="28" t="s">
        <v>1082</v>
      </c>
      <c r="M1016" s="29">
        <v>61.3</v>
      </c>
      <c r="N1016" s="48">
        <f t="shared" si="320"/>
        <v>44.810299999999998</v>
      </c>
      <c r="O1016" s="48">
        <f t="shared" si="321"/>
        <v>59.732129899999997</v>
      </c>
      <c r="P1016" s="48">
        <f t="shared" si="322"/>
        <v>119.46425979999999</v>
      </c>
      <c r="Q1016" s="48">
        <f t="shared" si="323"/>
        <v>340.32825979999996</v>
      </c>
      <c r="R1016" s="41">
        <f t="shared" si="324"/>
        <v>478.88998833459999</v>
      </c>
      <c r="S1016" s="9"/>
    </row>
    <row r="1017" spans="2:36" x14ac:dyDescent="0.2">
      <c r="B1017" s="61" t="str">
        <f>IF(F1017&lt;&gt;"",1+MAX($B$21:B1016),"")</f>
        <v/>
      </c>
      <c r="C1017" s="196"/>
      <c r="D1017" s="73"/>
      <c r="E1017" s="14"/>
      <c r="F1017" s="19"/>
      <c r="G1017" s="48"/>
      <c r="H1017" s="48">
        <f t="shared" si="317"/>
        <v>0</v>
      </c>
      <c r="I1017" s="48">
        <f t="shared" si="318"/>
        <v>0</v>
      </c>
      <c r="J1017" s="49"/>
      <c r="K1017" s="50">
        <f t="shared" si="319"/>
        <v>0</v>
      </c>
      <c r="L1017" s="50"/>
      <c r="M1017" s="48"/>
      <c r="N1017" s="48">
        <f t="shared" si="320"/>
        <v>0</v>
      </c>
      <c r="O1017" s="48">
        <f t="shared" si="321"/>
        <v>0</v>
      </c>
      <c r="P1017" s="48">
        <f t="shared" si="322"/>
        <v>0</v>
      </c>
      <c r="Q1017" s="48">
        <f t="shared" si="323"/>
        <v>0</v>
      </c>
      <c r="R1017" s="41">
        <f t="shared" si="324"/>
        <v>0</v>
      </c>
      <c r="S1017" s="9"/>
    </row>
    <row r="1018" spans="2:36" x14ac:dyDescent="0.2">
      <c r="B1018" s="61" t="str">
        <f>IF(F1018&lt;&gt;"",1+MAX($B$21:B1017),"")</f>
        <v/>
      </c>
      <c r="C1018" s="196"/>
      <c r="D1018" s="75" t="s">
        <v>845</v>
      </c>
      <c r="E1018" s="14"/>
      <c r="F1018" s="19"/>
      <c r="G1018" s="48"/>
      <c r="H1018" s="48">
        <f t="shared" si="317"/>
        <v>0</v>
      </c>
      <c r="I1018" s="48">
        <f t="shared" si="318"/>
        <v>0</v>
      </c>
      <c r="J1018" s="49"/>
      <c r="K1018" s="50">
        <f t="shared" si="319"/>
        <v>0</v>
      </c>
      <c r="L1018" s="50"/>
      <c r="M1018" s="48"/>
      <c r="N1018" s="48">
        <f t="shared" si="320"/>
        <v>0</v>
      </c>
      <c r="O1018" s="48">
        <f t="shared" si="321"/>
        <v>0</v>
      </c>
      <c r="P1018" s="48">
        <f t="shared" si="322"/>
        <v>0</v>
      </c>
      <c r="Q1018" s="48">
        <f t="shared" si="323"/>
        <v>0</v>
      </c>
      <c r="R1018" s="41">
        <f t="shared" si="324"/>
        <v>0</v>
      </c>
      <c r="S1018" s="9"/>
    </row>
    <row r="1019" spans="2:36" x14ac:dyDescent="0.2">
      <c r="B1019" s="61">
        <f>IF(F1019&lt;&gt;"",1+MAX($B$21:B1018),"")</f>
        <v>627</v>
      </c>
      <c r="C1019" s="196"/>
      <c r="D1019" s="73" t="s">
        <v>840</v>
      </c>
      <c r="E1019" s="14" t="s">
        <v>79</v>
      </c>
      <c r="F1019" s="19">
        <v>9</v>
      </c>
      <c r="G1019" s="12">
        <v>137</v>
      </c>
      <c r="H1019" s="12">
        <f t="shared" si="317"/>
        <v>130.42400000000001</v>
      </c>
      <c r="I1019" s="12">
        <f t="shared" si="318"/>
        <v>1173.816</v>
      </c>
      <c r="J1019" s="11">
        <v>1.5089999999999999</v>
      </c>
      <c r="K1019" s="7">
        <f t="shared" si="319"/>
        <v>13.581</v>
      </c>
      <c r="L1019" s="28" t="s">
        <v>1082</v>
      </c>
      <c r="M1019" s="29">
        <v>61.3</v>
      </c>
      <c r="N1019" s="48">
        <f t="shared" si="320"/>
        <v>44.810299999999998</v>
      </c>
      <c r="O1019" s="48">
        <f t="shared" si="321"/>
        <v>67.618742699999999</v>
      </c>
      <c r="P1019" s="48">
        <f t="shared" si="322"/>
        <v>608.56868429999997</v>
      </c>
      <c r="Q1019" s="48">
        <f t="shared" si="323"/>
        <v>1782.3846843000001</v>
      </c>
      <c r="R1019" s="41">
        <f t="shared" si="324"/>
        <v>2507.5441748961007</v>
      </c>
      <c r="S1019" s="9"/>
    </row>
    <row r="1020" spans="2:36" x14ac:dyDescent="0.2">
      <c r="B1020" s="61">
        <f>IF(F1020&lt;&gt;"",1+MAX($B$21:B1019),"")</f>
        <v>628</v>
      </c>
      <c r="C1020" s="197"/>
      <c r="D1020" s="73" t="s">
        <v>841</v>
      </c>
      <c r="E1020" s="14" t="s">
        <v>79</v>
      </c>
      <c r="F1020" s="19">
        <v>3</v>
      </c>
      <c r="G1020" s="12">
        <v>165</v>
      </c>
      <c r="H1020" s="12">
        <f t="shared" si="317"/>
        <v>157.07999999999998</v>
      </c>
      <c r="I1020" s="12">
        <f t="shared" si="318"/>
        <v>471.23999999999995</v>
      </c>
      <c r="J1020" s="11">
        <v>1.5089999999999999</v>
      </c>
      <c r="K1020" s="7">
        <f t="shared" si="319"/>
        <v>4.5269999999999992</v>
      </c>
      <c r="L1020" s="28" t="s">
        <v>1082</v>
      </c>
      <c r="M1020" s="29">
        <v>61.3</v>
      </c>
      <c r="N1020" s="48">
        <f t="shared" si="320"/>
        <v>44.810299999999998</v>
      </c>
      <c r="O1020" s="48">
        <f t="shared" si="321"/>
        <v>67.618742699999999</v>
      </c>
      <c r="P1020" s="48">
        <f t="shared" si="322"/>
        <v>202.85622810000001</v>
      </c>
      <c r="Q1020" s="48">
        <f t="shared" si="323"/>
        <v>674.09622809999996</v>
      </c>
      <c r="R1020" s="41">
        <f t="shared" si="324"/>
        <v>947.51537349869989</v>
      </c>
      <c r="S1020" s="9"/>
    </row>
    <row r="1021" spans="2:36" ht="13.5" thickBot="1" x14ac:dyDescent="0.25">
      <c r="B1021" s="61" t="str">
        <f>IF(F1021&lt;&gt;"",1+MAX($B$21:B1020),"")</f>
        <v/>
      </c>
      <c r="C1021" s="67"/>
      <c r="D1021" s="73"/>
      <c r="E1021" s="14"/>
      <c r="F1021" s="19"/>
      <c r="G1021" s="48"/>
      <c r="H1021" s="48">
        <f t="shared" si="317"/>
        <v>0</v>
      </c>
      <c r="I1021" s="48">
        <f t="shared" si="318"/>
        <v>0</v>
      </c>
      <c r="J1021" s="49"/>
      <c r="K1021" s="50">
        <f t="shared" si="319"/>
        <v>0</v>
      </c>
      <c r="L1021" s="50"/>
      <c r="M1021" s="48"/>
      <c r="N1021" s="48">
        <f t="shared" si="320"/>
        <v>0</v>
      </c>
      <c r="O1021" s="48">
        <f t="shared" si="321"/>
        <v>0</v>
      </c>
      <c r="P1021" s="48">
        <f t="shared" si="322"/>
        <v>0</v>
      </c>
      <c r="Q1021" s="48">
        <f t="shared" si="323"/>
        <v>0</v>
      </c>
      <c r="R1021" s="41">
        <f t="shared" si="324"/>
        <v>0</v>
      </c>
    </row>
    <row r="1022" spans="2:36" s="9" customFormat="1" ht="26.25" thickBot="1" x14ac:dyDescent="0.25">
      <c r="B1022" s="59" t="str">
        <f>IF(F1022&lt;&gt;"",1+MAX($B$21:B1021),"")</f>
        <v/>
      </c>
      <c r="C1022" s="65" t="s">
        <v>54</v>
      </c>
      <c r="D1022" s="72" t="s">
        <v>23</v>
      </c>
      <c r="E1022" s="51"/>
      <c r="F1022" s="51"/>
      <c r="G1022" s="51"/>
      <c r="H1022" s="52" t="s">
        <v>61</v>
      </c>
      <c r="I1022" s="53">
        <f>SUM(I1023:I1032)</f>
        <v>0</v>
      </c>
      <c r="J1022" s="54"/>
      <c r="K1022" s="55" t="str">
        <f>ROUND(SUM(K1023:K1032),0) &amp; " " &amp; "HRS"</f>
        <v>294 HRS</v>
      </c>
      <c r="L1022" s="56"/>
      <c r="M1022" s="56"/>
      <c r="N1022" s="56"/>
      <c r="O1022" s="52" t="s">
        <v>62</v>
      </c>
      <c r="P1022" s="53">
        <f>SUM(P1023:P1032)</f>
        <v>9058.4660344000004</v>
      </c>
      <c r="Q1022" s="57">
        <f>SUM(Q1023:Q1032)</f>
        <v>9058.4660344000004</v>
      </c>
      <c r="R1022" s="58">
        <f>(Q1022)+(I1022*$Q$7)+(P1022*$Q$8)+(Q1022*$Q$9)+($Q$10*((Q1022)+(I1022*$Q$7)+(P1022*$Q$8)+(Q1022*$Q$9)))+(Q1022*$Q$11)</f>
        <v>12926.431031088801</v>
      </c>
      <c r="T1022" s="8"/>
      <c r="U1022" s="8"/>
      <c r="V1022" s="8"/>
      <c r="W1022" s="8"/>
      <c r="X1022" s="8"/>
      <c r="Y1022" s="8"/>
      <c r="Z1022" s="8"/>
      <c r="AA1022" s="8"/>
      <c r="AB1022" s="8"/>
      <c r="AC1022" s="8"/>
      <c r="AD1022" s="8"/>
      <c r="AE1022" s="8"/>
      <c r="AF1022" s="8"/>
      <c r="AG1022" s="8"/>
      <c r="AH1022" s="8"/>
      <c r="AI1022" s="8"/>
      <c r="AJ1022" s="8"/>
    </row>
    <row r="1023" spans="2:36" x14ac:dyDescent="0.2">
      <c r="B1023" s="61" t="str">
        <f>IF(F1023&lt;&gt;"",1+MAX($B$21:B1022),"")</f>
        <v/>
      </c>
      <c r="C1023" s="67"/>
      <c r="D1023" s="73"/>
      <c r="E1023" s="14"/>
      <c r="F1023" s="19"/>
      <c r="G1023" s="48"/>
      <c r="H1023" s="48">
        <f t="shared" ref="H1023:H1032" si="325">G1023*$T$2</f>
        <v>0</v>
      </c>
      <c r="I1023" s="48">
        <f t="shared" ref="I1023:I1032" si="326">F1023*H1023</f>
        <v>0</v>
      </c>
      <c r="J1023" s="49"/>
      <c r="K1023" s="50">
        <f t="shared" ref="K1023:K1032" si="327">F1023*J1023</f>
        <v>0</v>
      </c>
      <c r="L1023" s="50"/>
      <c r="M1023" s="48"/>
      <c r="N1023" s="48">
        <f t="shared" ref="N1023:N1032" si="328">M1023*$U$2</f>
        <v>0</v>
      </c>
      <c r="O1023" s="48">
        <f t="shared" ref="O1023:O1032" si="329">J1023*N1023</f>
        <v>0</v>
      </c>
      <c r="P1023" s="48">
        <f t="shared" ref="P1023:P1032" si="330">F1023*O1023</f>
        <v>0</v>
      </c>
      <c r="Q1023" s="48">
        <f t="shared" ref="Q1023:Q1032" si="331">I1023+P1023</f>
        <v>0</v>
      </c>
      <c r="R1023" s="41">
        <f t="shared" ref="R1023:R1032" si="332">Q1023+(I1023*$Q$7)+(P1023*$Q$8)+(Q1023*$Q$9)+(Q1023*$Q$11)+($Q$10*(Q1023+(I1023*$Q$7)+(P1023*$Q$8)+(Q1023*$Q$9)))</f>
        <v>0</v>
      </c>
      <c r="S1023" s="9"/>
    </row>
    <row r="1024" spans="2:36" x14ac:dyDescent="0.2">
      <c r="B1024" s="62" t="str">
        <f>IF(F1024&lt;&gt;"",1+MAX($B$21:B1023),"")</f>
        <v/>
      </c>
      <c r="C1024" s="68"/>
      <c r="D1024" s="74" t="s">
        <v>113</v>
      </c>
      <c r="E1024" s="14"/>
      <c r="F1024" s="19"/>
      <c r="G1024" s="48"/>
      <c r="H1024" s="48">
        <f t="shared" si="325"/>
        <v>0</v>
      </c>
      <c r="I1024" s="48">
        <f t="shared" si="326"/>
        <v>0</v>
      </c>
      <c r="J1024" s="49"/>
      <c r="K1024" s="50">
        <f t="shared" si="327"/>
        <v>0</v>
      </c>
      <c r="L1024" s="50"/>
      <c r="M1024" s="48"/>
      <c r="N1024" s="48">
        <f t="shared" si="328"/>
        <v>0</v>
      </c>
      <c r="O1024" s="48">
        <f t="shared" si="329"/>
        <v>0</v>
      </c>
      <c r="P1024" s="48">
        <f t="shared" si="330"/>
        <v>0</v>
      </c>
      <c r="Q1024" s="48">
        <f t="shared" si="331"/>
        <v>0</v>
      </c>
      <c r="R1024" s="41">
        <f t="shared" si="332"/>
        <v>0</v>
      </c>
    </row>
    <row r="1025" spans="2:36" x14ac:dyDescent="0.2">
      <c r="B1025" s="61">
        <f>IF(F1025&lt;&gt;"",1+MAX($B$21:B1024),"")</f>
        <v>629</v>
      </c>
      <c r="C1025" s="67" t="s">
        <v>237</v>
      </c>
      <c r="D1025" s="73" t="s">
        <v>114</v>
      </c>
      <c r="E1025" s="14" t="s">
        <v>73</v>
      </c>
      <c r="F1025" s="23">
        <v>119.8</v>
      </c>
      <c r="G1025" s="27"/>
      <c r="H1025" s="27">
        <f t="shared" si="325"/>
        <v>0</v>
      </c>
      <c r="I1025" s="27">
        <f t="shared" si="326"/>
        <v>0</v>
      </c>
      <c r="J1025" s="11">
        <v>1.698</v>
      </c>
      <c r="K1025" s="7">
        <f t="shared" si="327"/>
        <v>203.4204</v>
      </c>
      <c r="L1025" s="28" t="s">
        <v>1045</v>
      </c>
      <c r="M1025" s="29">
        <v>42.1</v>
      </c>
      <c r="N1025" s="48">
        <f t="shared" si="328"/>
        <v>30.775100000000002</v>
      </c>
      <c r="O1025" s="48">
        <f t="shared" si="329"/>
        <v>52.2561198</v>
      </c>
      <c r="P1025" s="48">
        <f t="shared" si="330"/>
        <v>6260.2831520399995</v>
      </c>
      <c r="Q1025" s="48">
        <f t="shared" si="331"/>
        <v>6260.2831520399995</v>
      </c>
      <c r="R1025" s="41">
        <f t="shared" si="332"/>
        <v>8933.4240579610796</v>
      </c>
    </row>
    <row r="1026" spans="2:36" x14ac:dyDescent="0.2">
      <c r="B1026" s="61" t="str">
        <f>IF(F1026&lt;&gt;"",1+MAX($B$21:B1025),"")</f>
        <v/>
      </c>
      <c r="C1026" s="67"/>
      <c r="D1026" s="42"/>
      <c r="E1026" s="35"/>
      <c r="F1026" s="24"/>
      <c r="G1026" s="48"/>
      <c r="H1026" s="48">
        <f t="shared" si="325"/>
        <v>0</v>
      </c>
      <c r="I1026" s="48">
        <f t="shared" si="326"/>
        <v>0</v>
      </c>
      <c r="J1026" s="49"/>
      <c r="K1026" s="50">
        <f t="shared" si="327"/>
        <v>0</v>
      </c>
      <c r="L1026" s="50"/>
      <c r="M1026" s="48"/>
      <c r="N1026" s="48">
        <f t="shared" si="328"/>
        <v>0</v>
      </c>
      <c r="O1026" s="48">
        <f t="shared" si="329"/>
        <v>0</v>
      </c>
      <c r="P1026" s="48">
        <f t="shared" si="330"/>
        <v>0</v>
      </c>
      <c r="Q1026" s="48">
        <f t="shared" si="331"/>
        <v>0</v>
      </c>
      <c r="R1026" s="41">
        <f t="shared" si="332"/>
        <v>0</v>
      </c>
    </row>
    <row r="1027" spans="2:36" x14ac:dyDescent="0.2">
      <c r="B1027" s="62" t="str">
        <f>IF(F1027&lt;&gt;"",1+MAX($B$21:B1026),"")</f>
        <v/>
      </c>
      <c r="C1027" s="68"/>
      <c r="D1027" s="74" t="s">
        <v>115</v>
      </c>
      <c r="E1027" s="14"/>
      <c r="F1027" s="19"/>
      <c r="G1027" s="48"/>
      <c r="H1027" s="48">
        <f t="shared" si="325"/>
        <v>0</v>
      </c>
      <c r="I1027" s="48">
        <f t="shared" si="326"/>
        <v>0</v>
      </c>
      <c r="J1027" s="49"/>
      <c r="K1027" s="50">
        <f t="shared" si="327"/>
        <v>0</v>
      </c>
      <c r="L1027" s="50"/>
      <c r="M1027" s="48"/>
      <c r="N1027" s="48">
        <f t="shared" si="328"/>
        <v>0</v>
      </c>
      <c r="O1027" s="48">
        <f t="shared" si="329"/>
        <v>0</v>
      </c>
      <c r="P1027" s="48">
        <f t="shared" si="330"/>
        <v>0</v>
      </c>
      <c r="Q1027" s="48">
        <f t="shared" si="331"/>
        <v>0</v>
      </c>
      <c r="R1027" s="41">
        <f t="shared" si="332"/>
        <v>0</v>
      </c>
    </row>
    <row r="1028" spans="2:36" x14ac:dyDescent="0.2">
      <c r="B1028" s="61">
        <f>IF(F1028&lt;&gt;"",1+MAX($B$21:B1027),"")</f>
        <v>630</v>
      </c>
      <c r="C1028" s="67" t="s">
        <v>237</v>
      </c>
      <c r="D1028" s="73" t="s">
        <v>116</v>
      </c>
      <c r="E1028" s="14" t="s">
        <v>73</v>
      </c>
      <c r="F1028" s="23">
        <f>119.8-36.1</f>
        <v>83.699999999999989</v>
      </c>
      <c r="G1028" s="27"/>
      <c r="H1028" s="27">
        <f t="shared" si="325"/>
        <v>0</v>
      </c>
      <c r="I1028" s="27">
        <f t="shared" si="326"/>
        <v>0</v>
      </c>
      <c r="J1028" s="11">
        <v>0.90300000000000002</v>
      </c>
      <c r="K1028" s="7">
        <f t="shared" si="327"/>
        <v>75.581099999999992</v>
      </c>
      <c r="L1028" s="28" t="s">
        <v>1045</v>
      </c>
      <c r="M1028" s="29">
        <v>42.1</v>
      </c>
      <c r="N1028" s="48">
        <f t="shared" si="328"/>
        <v>30.775100000000002</v>
      </c>
      <c r="O1028" s="48">
        <f t="shared" si="329"/>
        <v>27.789915300000004</v>
      </c>
      <c r="P1028" s="48">
        <f t="shared" si="330"/>
        <v>2326.01591061</v>
      </c>
      <c r="Q1028" s="48">
        <f t="shared" si="331"/>
        <v>2326.01591061</v>
      </c>
      <c r="R1028" s="41">
        <f t="shared" si="332"/>
        <v>3319.2247044404703</v>
      </c>
    </row>
    <row r="1029" spans="2:36" x14ac:dyDescent="0.2">
      <c r="B1029" s="61" t="str">
        <f>IF(F1029&lt;&gt;"",1+MAX($B$21:B1028),"")</f>
        <v/>
      </c>
      <c r="C1029" s="67"/>
      <c r="D1029" s="73"/>
      <c r="E1029" s="14"/>
      <c r="F1029" s="19"/>
      <c r="G1029" s="48"/>
      <c r="H1029" s="48">
        <f t="shared" si="325"/>
        <v>0</v>
      </c>
      <c r="I1029" s="48">
        <f t="shared" si="326"/>
        <v>0</v>
      </c>
      <c r="J1029" s="49"/>
      <c r="K1029" s="50">
        <f t="shared" si="327"/>
        <v>0</v>
      </c>
      <c r="L1029" s="50"/>
      <c r="M1029" s="48"/>
      <c r="N1029" s="48">
        <f t="shared" si="328"/>
        <v>0</v>
      </c>
      <c r="O1029" s="48">
        <f t="shared" si="329"/>
        <v>0</v>
      </c>
      <c r="P1029" s="48">
        <f t="shared" si="330"/>
        <v>0</v>
      </c>
      <c r="Q1029" s="48">
        <f t="shared" si="331"/>
        <v>0</v>
      </c>
      <c r="R1029" s="41">
        <f t="shared" si="332"/>
        <v>0</v>
      </c>
    </row>
    <row r="1030" spans="2:36" x14ac:dyDescent="0.2">
      <c r="B1030" s="62" t="str">
        <f>IF(F1030&lt;&gt;"",1+MAX($B$21:B1029),"")</f>
        <v/>
      </c>
      <c r="C1030" s="68"/>
      <c r="D1030" s="74" t="s">
        <v>117</v>
      </c>
      <c r="E1030" s="14"/>
      <c r="F1030" s="19"/>
      <c r="G1030" s="48"/>
      <c r="H1030" s="48">
        <f t="shared" si="325"/>
        <v>0</v>
      </c>
      <c r="I1030" s="48">
        <f t="shared" si="326"/>
        <v>0</v>
      </c>
      <c r="J1030" s="49"/>
      <c r="K1030" s="50">
        <f t="shared" si="327"/>
        <v>0</v>
      </c>
      <c r="L1030" s="50"/>
      <c r="M1030" s="48"/>
      <c r="N1030" s="48">
        <f t="shared" si="328"/>
        <v>0</v>
      </c>
      <c r="O1030" s="48">
        <f t="shared" si="329"/>
        <v>0</v>
      </c>
      <c r="P1030" s="48">
        <f t="shared" si="330"/>
        <v>0</v>
      </c>
      <c r="Q1030" s="48">
        <f t="shared" si="331"/>
        <v>0</v>
      </c>
      <c r="R1030" s="41">
        <f t="shared" si="332"/>
        <v>0</v>
      </c>
    </row>
    <row r="1031" spans="2:36" x14ac:dyDescent="0.2">
      <c r="B1031" s="61">
        <f>IF(F1031&lt;&gt;"",1+MAX($B$21:B1030),"")</f>
        <v>631</v>
      </c>
      <c r="C1031" s="67" t="s">
        <v>237</v>
      </c>
      <c r="D1031" s="73" t="s">
        <v>118</v>
      </c>
      <c r="E1031" s="14" t="s">
        <v>73</v>
      </c>
      <c r="F1031" s="23">
        <v>36.1</v>
      </c>
      <c r="G1031" s="27"/>
      <c r="H1031" s="27">
        <f t="shared" si="325"/>
        <v>0</v>
      </c>
      <c r="I1031" s="27">
        <f t="shared" si="326"/>
        <v>0</v>
      </c>
      <c r="J1031" s="11">
        <v>0.42499999999999999</v>
      </c>
      <c r="K1031" s="7">
        <f t="shared" si="327"/>
        <v>15.342499999999999</v>
      </c>
      <c r="L1031" s="28" t="s">
        <v>1045</v>
      </c>
      <c r="M1031" s="29">
        <v>42.1</v>
      </c>
      <c r="N1031" s="48">
        <f t="shared" si="328"/>
        <v>30.775100000000002</v>
      </c>
      <c r="O1031" s="48">
        <f t="shared" si="329"/>
        <v>13.0794175</v>
      </c>
      <c r="P1031" s="48">
        <f t="shared" si="330"/>
        <v>472.16697175000002</v>
      </c>
      <c r="Q1031" s="48">
        <f t="shared" si="331"/>
        <v>472.16697175000002</v>
      </c>
      <c r="R1031" s="41">
        <f t="shared" si="332"/>
        <v>673.78226868725005</v>
      </c>
    </row>
    <row r="1032" spans="2:36" ht="13.5" thickBot="1" x14ac:dyDescent="0.25">
      <c r="B1032" s="61" t="str">
        <f>IF(F1032&lt;&gt;"",1+MAX($B$21:B1031),"")</f>
        <v/>
      </c>
      <c r="C1032" s="67"/>
      <c r="D1032" s="73"/>
      <c r="E1032" s="14"/>
      <c r="F1032" s="19"/>
      <c r="G1032" s="48"/>
      <c r="H1032" s="48">
        <f t="shared" si="325"/>
        <v>0</v>
      </c>
      <c r="I1032" s="48">
        <f t="shared" si="326"/>
        <v>0</v>
      </c>
      <c r="J1032" s="49"/>
      <c r="K1032" s="50">
        <f t="shared" si="327"/>
        <v>0</v>
      </c>
      <c r="L1032" s="50"/>
      <c r="M1032" s="48"/>
      <c r="N1032" s="48">
        <f t="shared" si="328"/>
        <v>0</v>
      </c>
      <c r="O1032" s="48">
        <f t="shared" si="329"/>
        <v>0</v>
      </c>
      <c r="P1032" s="48">
        <f t="shared" si="330"/>
        <v>0</v>
      </c>
      <c r="Q1032" s="48">
        <f t="shared" si="331"/>
        <v>0</v>
      </c>
      <c r="R1032" s="41">
        <f t="shared" si="332"/>
        <v>0</v>
      </c>
    </row>
    <row r="1033" spans="2:36" s="9" customFormat="1" ht="26.25" thickBot="1" x14ac:dyDescent="0.25">
      <c r="B1033" s="59" t="str">
        <f>IF(F1033&lt;&gt;"",1+MAX($B$21:B832),"")</f>
        <v/>
      </c>
      <c r="C1033" s="65" t="s">
        <v>149</v>
      </c>
      <c r="D1033" s="72" t="s">
        <v>150</v>
      </c>
      <c r="E1033" s="51"/>
      <c r="F1033" s="51"/>
      <c r="G1033" s="51"/>
      <c r="H1033" s="52" t="s">
        <v>61</v>
      </c>
      <c r="I1033" s="53">
        <f>SUM(I1034:I1220)</f>
        <v>216589.13686755774</v>
      </c>
      <c r="J1033" s="54"/>
      <c r="K1033" s="55" t="str">
        <f>ROUND(SUM(K1034:K1220),0) &amp; " " &amp; "HRS"</f>
        <v>3077 HRS</v>
      </c>
      <c r="L1033" s="56"/>
      <c r="M1033" s="56"/>
      <c r="N1033" s="56"/>
      <c r="O1033" s="52" t="s">
        <v>62</v>
      </c>
      <c r="P1033" s="53">
        <f>SUM(P1034:P1220)</f>
        <v>118051.76113439603</v>
      </c>
      <c r="Q1033" s="57">
        <f>SUM(Q1034:Q1220)</f>
        <v>334640.89800195384</v>
      </c>
      <c r="R1033" s="58">
        <f>(Q1033)+(I1033*$Q$7)+(P1033*$Q$8)+(Q1033*$Q$9)+($Q$10*((Q1033)+(I1033*$Q$7)+(P1033*$Q$8)+(Q1033*$Q$9)))+(Q1033*$Q$11)</f>
        <v>470904.93386064091</v>
      </c>
      <c r="T1033" s="8"/>
      <c r="U1033" s="8"/>
      <c r="V1033" s="8"/>
      <c r="W1033" s="8"/>
      <c r="X1033" s="8"/>
      <c r="Y1033" s="8"/>
      <c r="Z1033" s="8"/>
      <c r="AA1033" s="8"/>
      <c r="AB1033" s="8"/>
      <c r="AC1033" s="8"/>
      <c r="AD1033" s="8"/>
      <c r="AE1033" s="8"/>
      <c r="AF1033" s="8"/>
      <c r="AG1033" s="8"/>
      <c r="AH1033" s="8"/>
      <c r="AI1033" s="8"/>
      <c r="AJ1033" s="8"/>
    </row>
    <row r="1034" spans="2:36" x14ac:dyDescent="0.2">
      <c r="B1034" s="61" t="str">
        <f>IF(F1034&lt;&gt;"",1+MAX($B$21:B1033),"")</f>
        <v/>
      </c>
      <c r="C1034" s="67"/>
      <c r="D1034" s="73"/>
      <c r="E1034" s="14"/>
      <c r="F1034" s="19"/>
      <c r="G1034" s="48"/>
      <c r="H1034" s="48">
        <f t="shared" ref="H1034:H1097" si="333">G1034*$T$2</f>
        <v>0</v>
      </c>
      <c r="I1034" s="48">
        <f t="shared" ref="I1034:I1097" si="334">F1034*H1034</f>
        <v>0</v>
      </c>
      <c r="J1034" s="49"/>
      <c r="K1034" s="50">
        <f t="shared" ref="K1034:K1097" si="335">F1034*J1034</f>
        <v>0</v>
      </c>
      <c r="L1034" s="50"/>
      <c r="M1034" s="48"/>
      <c r="N1034" s="48">
        <f t="shared" ref="N1034:N1097" si="336">M1034*$U$2</f>
        <v>0</v>
      </c>
      <c r="O1034" s="48">
        <f t="shared" ref="O1034:O1097" si="337">J1034*N1034</f>
        <v>0</v>
      </c>
      <c r="P1034" s="48">
        <f t="shared" ref="P1034:P1097" si="338">F1034*O1034</f>
        <v>0</v>
      </c>
      <c r="Q1034" s="48">
        <f t="shared" ref="Q1034:Q1097" si="339">I1034+P1034</f>
        <v>0</v>
      </c>
      <c r="R1034" s="41">
        <f t="shared" ref="R1034:R1097" si="340">Q1034+(I1034*$Q$7)+(P1034*$Q$8)+(Q1034*$Q$9)+(Q1034*$Q$11)+($Q$10*(Q1034+(I1034*$Q$7)+(P1034*$Q$8)+(Q1034*$Q$9)))</f>
        <v>0</v>
      </c>
      <c r="S1034" s="9"/>
    </row>
    <row r="1035" spans="2:36" x14ac:dyDescent="0.2">
      <c r="B1035" s="62" t="str">
        <f>IF(F1035&lt;&gt;"",1+MAX($B$21:B1034),"")</f>
        <v/>
      </c>
      <c r="C1035" s="68"/>
      <c r="D1035" s="74" t="s">
        <v>883</v>
      </c>
      <c r="E1035" s="14"/>
      <c r="F1035" s="19"/>
      <c r="G1035" s="48"/>
      <c r="H1035" s="48">
        <f t="shared" si="333"/>
        <v>0</v>
      </c>
      <c r="I1035" s="48">
        <f t="shared" si="334"/>
        <v>0</v>
      </c>
      <c r="J1035" s="49"/>
      <c r="K1035" s="50">
        <f t="shared" si="335"/>
        <v>0</v>
      </c>
      <c r="L1035" s="50"/>
      <c r="M1035" s="48"/>
      <c r="N1035" s="48">
        <f t="shared" si="336"/>
        <v>0</v>
      </c>
      <c r="O1035" s="48">
        <f t="shared" si="337"/>
        <v>0</v>
      </c>
      <c r="P1035" s="48">
        <f t="shared" si="338"/>
        <v>0</v>
      </c>
      <c r="Q1035" s="48">
        <f t="shared" si="339"/>
        <v>0</v>
      </c>
      <c r="R1035" s="41">
        <f t="shared" si="340"/>
        <v>0</v>
      </c>
    </row>
    <row r="1036" spans="2:36" ht="76.5" x14ac:dyDescent="0.2">
      <c r="B1036" s="61">
        <f>IF(F1036&lt;&gt;"",1+MAX($B$21:B1035),"")</f>
        <v>632</v>
      </c>
      <c r="C1036" s="198" t="s">
        <v>884</v>
      </c>
      <c r="D1036" s="73" t="s">
        <v>885</v>
      </c>
      <c r="E1036" s="14" t="s">
        <v>72</v>
      </c>
      <c r="F1036" s="19">
        <v>2459.1799999999998</v>
      </c>
      <c r="G1036" s="12">
        <v>3.5</v>
      </c>
      <c r="H1036" s="12">
        <f t="shared" si="333"/>
        <v>3.3319999999999999</v>
      </c>
      <c r="I1036" s="12">
        <f t="shared" si="334"/>
        <v>8193.98776</v>
      </c>
      <c r="J1036" s="11">
        <v>2.4E-2</v>
      </c>
      <c r="K1036" s="7">
        <f t="shared" si="335"/>
        <v>59.020319999999998</v>
      </c>
      <c r="L1036" s="28" t="s">
        <v>1088</v>
      </c>
      <c r="M1036" s="29">
        <v>104.31</v>
      </c>
      <c r="N1036" s="48">
        <f t="shared" si="336"/>
        <v>76.250609999999995</v>
      </c>
      <c r="O1036" s="48">
        <f t="shared" si="337"/>
        <v>1.8300146399999999</v>
      </c>
      <c r="P1036" s="48">
        <f t="shared" si="338"/>
        <v>4500.3354023951997</v>
      </c>
      <c r="Q1036" s="48">
        <f t="shared" si="339"/>
        <v>12694.3231623952</v>
      </c>
      <c r="R1036" s="41">
        <f t="shared" si="340"/>
        <v>17864.063127281952</v>
      </c>
    </row>
    <row r="1037" spans="2:36" ht="89.25" x14ac:dyDescent="0.2">
      <c r="B1037" s="61">
        <f>IF(F1037&lt;&gt;"",1+MAX($B$21:B1036),"")</f>
        <v>633</v>
      </c>
      <c r="C1037" s="196"/>
      <c r="D1037" s="73" t="s">
        <v>886</v>
      </c>
      <c r="E1037" s="14" t="s">
        <v>72</v>
      </c>
      <c r="F1037" s="19">
        <v>11367.3</v>
      </c>
      <c r="G1037" s="12">
        <v>4.291666666666667</v>
      </c>
      <c r="H1037" s="12">
        <f t="shared" si="333"/>
        <v>4.0856666666666666</v>
      </c>
      <c r="I1037" s="12">
        <f t="shared" si="334"/>
        <v>46442.998699999996</v>
      </c>
      <c r="J1037" s="11">
        <v>2.5000000000000001E-2</v>
      </c>
      <c r="K1037" s="7">
        <f t="shared" si="335"/>
        <v>284.1825</v>
      </c>
      <c r="L1037" s="28" t="s">
        <v>1088</v>
      </c>
      <c r="M1037" s="29">
        <v>104.31</v>
      </c>
      <c r="N1037" s="48">
        <f t="shared" si="336"/>
        <v>76.250609999999995</v>
      </c>
      <c r="O1037" s="48">
        <f t="shared" si="337"/>
        <v>1.9062652499999999</v>
      </c>
      <c r="P1037" s="48">
        <f t="shared" si="338"/>
        <v>21669.088976324998</v>
      </c>
      <c r="Q1037" s="48">
        <f t="shared" si="339"/>
        <v>68112.087676324998</v>
      </c>
      <c r="R1037" s="41">
        <f t="shared" si="340"/>
        <v>95774.793353895773</v>
      </c>
      <c r="S1037" s="9"/>
    </row>
    <row r="1038" spans="2:36" x14ac:dyDescent="0.2">
      <c r="B1038" s="61">
        <f>IF(F1038&lt;&gt;"",1+MAX($B$21:B1037),"")</f>
        <v>634</v>
      </c>
      <c r="C1038" s="197"/>
      <c r="D1038" s="73" t="s">
        <v>887</v>
      </c>
      <c r="E1038" s="14" t="s">
        <v>72</v>
      </c>
      <c r="F1038" s="19">
        <v>748</v>
      </c>
      <c r="G1038" s="12">
        <v>3.69</v>
      </c>
      <c r="H1038" s="12">
        <f t="shared" si="333"/>
        <v>3.51288</v>
      </c>
      <c r="I1038" s="12">
        <f t="shared" si="334"/>
        <v>2627.6342399999999</v>
      </c>
      <c r="J1038" s="11">
        <v>7.8E-2</v>
      </c>
      <c r="K1038" s="7">
        <f t="shared" si="335"/>
        <v>58.344000000000001</v>
      </c>
      <c r="L1038" s="28" t="s">
        <v>1047</v>
      </c>
      <c r="M1038" s="29">
        <v>47.35</v>
      </c>
      <c r="N1038" s="48">
        <f t="shared" si="336"/>
        <v>34.612850000000002</v>
      </c>
      <c r="O1038" s="48">
        <f t="shared" si="337"/>
        <v>2.6998023</v>
      </c>
      <c r="P1038" s="48">
        <f t="shared" si="338"/>
        <v>2019.4521204</v>
      </c>
      <c r="Q1038" s="48">
        <f t="shared" si="339"/>
        <v>4647.0863603999996</v>
      </c>
      <c r="R1038" s="41">
        <f t="shared" si="340"/>
        <v>6550.9866285468006</v>
      </c>
      <c r="S1038" s="9"/>
    </row>
    <row r="1039" spans="2:36" x14ac:dyDescent="0.2">
      <c r="B1039" s="61" t="str">
        <f>IF(F1039&lt;&gt;"",1+MAX($B$21:B1038),"")</f>
        <v/>
      </c>
      <c r="C1039" s="67"/>
      <c r="D1039" s="73"/>
      <c r="E1039" s="14"/>
      <c r="F1039" s="19"/>
      <c r="G1039" s="48"/>
      <c r="H1039" s="48">
        <f t="shared" si="333"/>
        <v>0</v>
      </c>
      <c r="I1039" s="48">
        <f t="shared" si="334"/>
        <v>0</v>
      </c>
      <c r="J1039" s="49"/>
      <c r="K1039" s="50">
        <f t="shared" si="335"/>
        <v>0</v>
      </c>
      <c r="L1039" s="50"/>
      <c r="M1039" s="48"/>
      <c r="N1039" s="48">
        <f t="shared" si="336"/>
        <v>0</v>
      </c>
      <c r="O1039" s="48">
        <f t="shared" si="337"/>
        <v>0</v>
      </c>
      <c r="P1039" s="48">
        <f t="shared" si="338"/>
        <v>0</v>
      </c>
      <c r="Q1039" s="48">
        <f t="shared" si="339"/>
        <v>0</v>
      </c>
      <c r="R1039" s="41">
        <f t="shared" si="340"/>
        <v>0</v>
      </c>
      <c r="S1039" s="9"/>
    </row>
    <row r="1040" spans="2:36" x14ac:dyDescent="0.2">
      <c r="B1040" s="62" t="str">
        <f>IF(F1040&lt;&gt;"",1+MAX($B$21:B1039),"")</f>
        <v/>
      </c>
      <c r="C1040" s="68"/>
      <c r="D1040" s="74" t="s">
        <v>888</v>
      </c>
      <c r="E1040" s="14"/>
      <c r="F1040" s="19"/>
      <c r="G1040" s="48"/>
      <c r="H1040" s="48">
        <f t="shared" si="333"/>
        <v>0</v>
      </c>
      <c r="I1040" s="48">
        <f t="shared" si="334"/>
        <v>0</v>
      </c>
      <c r="J1040" s="49"/>
      <c r="K1040" s="50">
        <f t="shared" si="335"/>
        <v>0</v>
      </c>
      <c r="L1040" s="50"/>
      <c r="M1040" s="48"/>
      <c r="N1040" s="48">
        <f t="shared" si="336"/>
        <v>0</v>
      </c>
      <c r="O1040" s="48">
        <f t="shared" si="337"/>
        <v>0</v>
      </c>
      <c r="P1040" s="48">
        <f t="shared" si="338"/>
        <v>0</v>
      </c>
      <c r="Q1040" s="48">
        <f t="shared" si="339"/>
        <v>0</v>
      </c>
      <c r="R1040" s="41">
        <f t="shared" si="340"/>
        <v>0</v>
      </c>
    </row>
    <row r="1041" spans="2:19" ht="38.25" x14ac:dyDescent="0.2">
      <c r="B1041" s="61">
        <f>IF(F1041&lt;&gt;"",1+MAX($B$21:B1040),"")</f>
        <v>635</v>
      </c>
      <c r="C1041" s="198" t="s">
        <v>884</v>
      </c>
      <c r="D1041" s="73" t="s">
        <v>889</v>
      </c>
      <c r="E1041" s="14" t="s">
        <v>72</v>
      </c>
      <c r="F1041" s="19">
        <v>1835</v>
      </c>
      <c r="G1041" s="12">
        <v>2.8000000000000003</v>
      </c>
      <c r="H1041" s="12">
        <f t="shared" si="333"/>
        <v>2.6656</v>
      </c>
      <c r="I1041" s="12">
        <f t="shared" si="334"/>
        <v>4891.3760000000002</v>
      </c>
      <c r="J1041" s="11">
        <v>9.5000000000000001E-2</v>
      </c>
      <c r="K1041" s="7">
        <f t="shared" si="335"/>
        <v>174.32499999999999</v>
      </c>
      <c r="L1041" s="28" t="s">
        <v>1089</v>
      </c>
      <c r="M1041" s="29">
        <v>48.4</v>
      </c>
      <c r="N1041" s="48">
        <f t="shared" si="336"/>
        <v>35.380400000000002</v>
      </c>
      <c r="O1041" s="48">
        <f t="shared" si="337"/>
        <v>3.3611380000000004</v>
      </c>
      <c r="P1041" s="48">
        <f t="shared" si="338"/>
        <v>6167.6882300000007</v>
      </c>
      <c r="Q1041" s="48">
        <f t="shared" si="339"/>
        <v>11059.06423</v>
      </c>
      <c r="R1041" s="41">
        <f t="shared" si="340"/>
        <v>15631.608550609999</v>
      </c>
      <c r="S1041" s="9"/>
    </row>
    <row r="1042" spans="2:19" x14ac:dyDescent="0.2">
      <c r="B1042" s="61">
        <f>IF(F1042&lt;&gt;"",1+MAX($B$21:B1041),"")</f>
        <v>636</v>
      </c>
      <c r="C1042" s="197"/>
      <c r="D1042" s="73" t="s">
        <v>890</v>
      </c>
      <c r="E1042" s="14" t="s">
        <v>74</v>
      </c>
      <c r="F1042" s="19">
        <f>F1041/25</f>
        <v>73.400000000000006</v>
      </c>
      <c r="G1042" s="48">
        <v>1.59</v>
      </c>
      <c r="H1042" s="48">
        <f t="shared" si="333"/>
        <v>1.5136799999999999</v>
      </c>
      <c r="I1042" s="48">
        <f t="shared" si="334"/>
        <v>111.104112</v>
      </c>
      <c r="J1042" s="49">
        <v>2.4E-2</v>
      </c>
      <c r="K1042" s="50">
        <f t="shared" si="335"/>
        <v>1.7616000000000003</v>
      </c>
      <c r="L1042" s="50" t="s">
        <v>1048</v>
      </c>
      <c r="M1042" s="48">
        <v>53.15</v>
      </c>
      <c r="N1042" s="48">
        <f t="shared" si="336"/>
        <v>38.852649999999997</v>
      </c>
      <c r="O1042" s="48">
        <f t="shared" si="337"/>
        <v>0.93246359999999995</v>
      </c>
      <c r="P1042" s="48">
        <f t="shared" si="338"/>
        <v>68.442828239999997</v>
      </c>
      <c r="Q1042" s="48">
        <f t="shared" si="339"/>
        <v>179.54694024</v>
      </c>
      <c r="R1042" s="41">
        <f t="shared" si="340"/>
        <v>252.81369789528003</v>
      </c>
      <c r="S1042" s="9"/>
    </row>
    <row r="1043" spans="2:19" x14ac:dyDescent="0.2">
      <c r="B1043" s="61" t="str">
        <f>IF(F1043&lt;&gt;"",1+MAX($B$21:B1042),"")</f>
        <v/>
      </c>
      <c r="C1043" s="67"/>
      <c r="D1043" s="73"/>
      <c r="E1043" s="14"/>
      <c r="F1043" s="19"/>
      <c r="G1043" s="48"/>
      <c r="H1043" s="48">
        <f t="shared" si="333"/>
        <v>0</v>
      </c>
      <c r="I1043" s="48">
        <f t="shared" si="334"/>
        <v>0</v>
      </c>
      <c r="J1043" s="49"/>
      <c r="K1043" s="50">
        <f t="shared" si="335"/>
        <v>0</v>
      </c>
      <c r="L1043" s="50"/>
      <c r="M1043" s="48"/>
      <c r="N1043" s="48">
        <f t="shared" si="336"/>
        <v>0</v>
      </c>
      <c r="O1043" s="48">
        <f t="shared" si="337"/>
        <v>0</v>
      </c>
      <c r="P1043" s="48">
        <f t="shared" si="338"/>
        <v>0</v>
      </c>
      <c r="Q1043" s="48">
        <f t="shared" si="339"/>
        <v>0</v>
      </c>
      <c r="R1043" s="41">
        <f t="shared" si="340"/>
        <v>0</v>
      </c>
      <c r="S1043" s="9"/>
    </row>
    <row r="1044" spans="2:19" x14ac:dyDescent="0.2">
      <c r="B1044" s="62" t="str">
        <f>IF(F1044&lt;&gt;"",1+MAX($B$21:B1043),"")</f>
        <v/>
      </c>
      <c r="C1044" s="68"/>
      <c r="D1044" s="74" t="s">
        <v>891</v>
      </c>
      <c r="E1044" s="14"/>
      <c r="F1044" s="19"/>
      <c r="G1044" s="48"/>
      <c r="H1044" s="48">
        <f t="shared" si="333"/>
        <v>0</v>
      </c>
      <c r="I1044" s="48">
        <f t="shared" si="334"/>
        <v>0</v>
      </c>
      <c r="J1044" s="49"/>
      <c r="K1044" s="50">
        <f t="shared" si="335"/>
        <v>0</v>
      </c>
      <c r="L1044" s="50"/>
      <c r="M1044" s="48"/>
      <c r="N1044" s="48">
        <f t="shared" si="336"/>
        <v>0</v>
      </c>
      <c r="O1044" s="48">
        <f t="shared" si="337"/>
        <v>0</v>
      </c>
      <c r="P1044" s="48">
        <f t="shared" si="338"/>
        <v>0</v>
      </c>
      <c r="Q1044" s="48">
        <f t="shared" si="339"/>
        <v>0</v>
      </c>
      <c r="R1044" s="41">
        <f t="shared" si="340"/>
        <v>0</v>
      </c>
    </row>
    <row r="1045" spans="2:19" x14ac:dyDescent="0.2">
      <c r="B1045" s="61">
        <f>IF(F1045&lt;&gt;"",1+MAX($B$21:B1044),"")</f>
        <v>637</v>
      </c>
      <c r="C1045" s="67" t="s">
        <v>884</v>
      </c>
      <c r="D1045" s="73" t="s">
        <v>892</v>
      </c>
      <c r="E1045" s="14" t="s">
        <v>72</v>
      </c>
      <c r="F1045" s="19">
        <v>114</v>
      </c>
      <c r="G1045" s="12">
        <v>11.2</v>
      </c>
      <c r="H1045" s="12">
        <f t="shared" si="333"/>
        <v>10.662399999999998</v>
      </c>
      <c r="I1045" s="12">
        <f t="shared" si="334"/>
        <v>1215.5135999999998</v>
      </c>
      <c r="J1045" s="11">
        <v>0.105</v>
      </c>
      <c r="K1045" s="7">
        <f t="shared" si="335"/>
        <v>11.969999999999999</v>
      </c>
      <c r="L1045" s="28" t="s">
        <v>1050</v>
      </c>
      <c r="M1045" s="29">
        <v>52.21</v>
      </c>
      <c r="N1045" s="48">
        <f t="shared" si="336"/>
        <v>38.165509999999998</v>
      </c>
      <c r="O1045" s="48">
        <f t="shared" si="337"/>
        <v>4.0073785499999994</v>
      </c>
      <c r="P1045" s="48">
        <f t="shared" si="338"/>
        <v>456.84115469999995</v>
      </c>
      <c r="Q1045" s="48">
        <f t="shared" si="339"/>
        <v>1672.3547546999998</v>
      </c>
      <c r="R1045" s="41">
        <f t="shared" si="340"/>
        <v>2349.2555187968997</v>
      </c>
      <c r="S1045" s="9"/>
    </row>
    <row r="1046" spans="2:19" x14ac:dyDescent="0.2">
      <c r="B1046" s="61" t="str">
        <f>IF(F1046&lt;&gt;"",1+MAX($B$21:B1045),"")</f>
        <v/>
      </c>
      <c r="C1046" s="67"/>
      <c r="D1046" s="73"/>
      <c r="E1046" s="14"/>
      <c r="F1046" s="19"/>
      <c r="G1046" s="48"/>
      <c r="H1046" s="48">
        <f t="shared" si="333"/>
        <v>0</v>
      </c>
      <c r="I1046" s="48">
        <f t="shared" si="334"/>
        <v>0</v>
      </c>
      <c r="J1046" s="49"/>
      <c r="K1046" s="50">
        <f t="shared" si="335"/>
        <v>0</v>
      </c>
      <c r="L1046" s="50"/>
      <c r="M1046" s="48"/>
      <c r="N1046" s="48">
        <f t="shared" si="336"/>
        <v>0</v>
      </c>
      <c r="O1046" s="48">
        <f t="shared" si="337"/>
        <v>0</v>
      </c>
      <c r="P1046" s="48">
        <f t="shared" si="338"/>
        <v>0</v>
      </c>
      <c r="Q1046" s="48">
        <f t="shared" si="339"/>
        <v>0</v>
      </c>
      <c r="R1046" s="41">
        <f t="shared" si="340"/>
        <v>0</v>
      </c>
      <c r="S1046" s="9"/>
    </row>
    <row r="1047" spans="2:19" x14ac:dyDescent="0.2">
      <c r="B1047" s="62" t="str">
        <f>IF(F1047&lt;&gt;"",1+MAX($B$21:B1046),"")</f>
        <v/>
      </c>
      <c r="C1047" s="68"/>
      <c r="D1047" s="74" t="s">
        <v>893</v>
      </c>
      <c r="E1047" s="14"/>
      <c r="F1047" s="19"/>
      <c r="G1047" s="48"/>
      <c r="H1047" s="48">
        <f t="shared" si="333"/>
        <v>0</v>
      </c>
      <c r="I1047" s="48">
        <f t="shared" si="334"/>
        <v>0</v>
      </c>
      <c r="J1047" s="49"/>
      <c r="K1047" s="50">
        <f t="shared" si="335"/>
        <v>0</v>
      </c>
      <c r="L1047" s="50"/>
      <c r="M1047" s="48"/>
      <c r="N1047" s="48">
        <f t="shared" si="336"/>
        <v>0</v>
      </c>
      <c r="O1047" s="48">
        <f t="shared" si="337"/>
        <v>0</v>
      </c>
      <c r="P1047" s="48">
        <f t="shared" si="338"/>
        <v>0</v>
      </c>
      <c r="Q1047" s="48">
        <f t="shared" si="339"/>
        <v>0</v>
      </c>
      <c r="R1047" s="41">
        <f t="shared" si="340"/>
        <v>0</v>
      </c>
    </row>
    <row r="1048" spans="2:19" ht="25.5" x14ac:dyDescent="0.2">
      <c r="B1048" s="61">
        <f>IF(F1048&lt;&gt;"",1+MAX($B$21:B1047),"")</f>
        <v>638</v>
      </c>
      <c r="C1048" s="67" t="s">
        <v>884</v>
      </c>
      <c r="D1048" s="73" t="s">
        <v>894</v>
      </c>
      <c r="E1048" s="14" t="s">
        <v>74</v>
      </c>
      <c r="F1048" s="19">
        <v>994</v>
      </c>
      <c r="G1048" s="12">
        <v>6.47</v>
      </c>
      <c r="H1048" s="12">
        <f t="shared" si="333"/>
        <v>6.1594399999999991</v>
      </c>
      <c r="I1048" s="12">
        <f t="shared" si="334"/>
        <v>6122.4833599999993</v>
      </c>
      <c r="J1048" s="11">
        <v>9.6000000000000002E-2</v>
      </c>
      <c r="K1048" s="7">
        <f t="shared" si="335"/>
        <v>95.424000000000007</v>
      </c>
      <c r="L1048" s="28" t="s">
        <v>1090</v>
      </c>
      <c r="M1048" s="29">
        <v>51.64</v>
      </c>
      <c r="N1048" s="48">
        <f t="shared" si="336"/>
        <v>37.748840000000001</v>
      </c>
      <c r="O1048" s="48">
        <f t="shared" si="337"/>
        <v>3.6238886400000001</v>
      </c>
      <c r="P1048" s="48">
        <f t="shared" si="338"/>
        <v>3602.1453081600002</v>
      </c>
      <c r="Q1048" s="48">
        <f t="shared" si="339"/>
        <v>9724.6286681599995</v>
      </c>
      <c r="R1048" s="41">
        <f t="shared" si="340"/>
        <v>13689.697118648321</v>
      </c>
      <c r="S1048" s="9"/>
    </row>
    <row r="1049" spans="2:19" x14ac:dyDescent="0.2">
      <c r="B1049" s="61" t="str">
        <f>IF(F1049&lt;&gt;"",1+MAX($B$21:B1048),"")</f>
        <v/>
      </c>
      <c r="C1049" s="67"/>
      <c r="D1049" s="73"/>
      <c r="E1049" s="14"/>
      <c r="F1049" s="19"/>
      <c r="G1049" s="48"/>
      <c r="H1049" s="48">
        <f t="shared" si="333"/>
        <v>0</v>
      </c>
      <c r="I1049" s="48">
        <f t="shared" si="334"/>
        <v>0</v>
      </c>
      <c r="J1049" s="49"/>
      <c r="K1049" s="50">
        <f t="shared" si="335"/>
        <v>0</v>
      </c>
      <c r="L1049" s="50"/>
      <c r="M1049" s="48"/>
      <c r="N1049" s="48">
        <f t="shared" si="336"/>
        <v>0</v>
      </c>
      <c r="O1049" s="48">
        <f t="shared" si="337"/>
        <v>0</v>
      </c>
      <c r="P1049" s="48">
        <f t="shared" si="338"/>
        <v>0</v>
      </c>
      <c r="Q1049" s="48">
        <f t="shared" si="339"/>
        <v>0</v>
      </c>
      <c r="R1049" s="41">
        <f t="shared" si="340"/>
        <v>0</v>
      </c>
      <c r="S1049" s="9"/>
    </row>
    <row r="1050" spans="2:19" x14ac:dyDescent="0.2">
      <c r="B1050" s="62" t="str">
        <f>IF(F1050&lt;&gt;"",1+MAX($B$21:B1049),"")</f>
        <v/>
      </c>
      <c r="C1050" s="68"/>
      <c r="D1050" s="74" t="s">
        <v>895</v>
      </c>
      <c r="E1050" s="14"/>
      <c r="F1050" s="19"/>
      <c r="G1050" s="48"/>
      <c r="H1050" s="48">
        <f t="shared" si="333"/>
        <v>0</v>
      </c>
      <c r="I1050" s="48">
        <f t="shared" si="334"/>
        <v>0</v>
      </c>
      <c r="J1050" s="49"/>
      <c r="K1050" s="50">
        <f t="shared" si="335"/>
        <v>0</v>
      </c>
      <c r="L1050" s="50"/>
      <c r="M1050" s="48"/>
      <c r="N1050" s="48">
        <f t="shared" si="336"/>
        <v>0</v>
      </c>
      <c r="O1050" s="48">
        <f t="shared" si="337"/>
        <v>0</v>
      </c>
      <c r="P1050" s="48">
        <f t="shared" si="338"/>
        <v>0</v>
      </c>
      <c r="Q1050" s="48">
        <f t="shared" si="339"/>
        <v>0</v>
      </c>
      <c r="R1050" s="41">
        <f t="shared" si="340"/>
        <v>0</v>
      </c>
    </row>
    <row r="1051" spans="2:19" x14ac:dyDescent="0.2">
      <c r="B1051" s="61">
        <f>IF(F1051&lt;&gt;"",1+MAX($B$21:B1050),"")</f>
        <v>639</v>
      </c>
      <c r="C1051" s="198" t="s">
        <v>896</v>
      </c>
      <c r="D1051" s="73" t="s">
        <v>897</v>
      </c>
      <c r="E1051" s="14" t="s">
        <v>73</v>
      </c>
      <c r="F1051" s="19">
        <v>634.41</v>
      </c>
      <c r="G1051" s="27"/>
      <c r="H1051" s="27">
        <f t="shared" si="333"/>
        <v>0</v>
      </c>
      <c r="I1051" s="27">
        <f t="shared" si="334"/>
        <v>0</v>
      </c>
      <c r="J1051" s="11">
        <v>0.34200000000000003</v>
      </c>
      <c r="K1051" s="7">
        <f t="shared" si="335"/>
        <v>216.96822</v>
      </c>
      <c r="L1051" s="28" t="s">
        <v>1045</v>
      </c>
      <c r="M1051" s="29">
        <v>42.1</v>
      </c>
      <c r="N1051" s="48">
        <f t="shared" si="336"/>
        <v>30.775100000000002</v>
      </c>
      <c r="O1051" s="48">
        <f t="shared" si="337"/>
        <v>10.525084200000002</v>
      </c>
      <c r="P1051" s="48">
        <f t="shared" si="338"/>
        <v>6677.2186673220012</v>
      </c>
      <c r="Q1051" s="48">
        <f t="shared" si="339"/>
        <v>6677.2186673220012</v>
      </c>
      <c r="R1051" s="41">
        <f t="shared" si="340"/>
        <v>9528.3910382684953</v>
      </c>
      <c r="S1051" s="9"/>
    </row>
    <row r="1052" spans="2:19" x14ac:dyDescent="0.2">
      <c r="B1052" s="61">
        <f>IF(F1052&lt;&gt;"",1+MAX($B$21:B1051),"")</f>
        <v>640</v>
      </c>
      <c r="C1052" s="196"/>
      <c r="D1052" s="73" t="s">
        <v>898</v>
      </c>
      <c r="E1052" s="14" t="s">
        <v>73</v>
      </c>
      <c r="F1052" s="19">
        <v>786.25</v>
      </c>
      <c r="G1052" s="27"/>
      <c r="H1052" s="27">
        <f t="shared" si="333"/>
        <v>0</v>
      </c>
      <c r="I1052" s="27">
        <f t="shared" si="334"/>
        <v>0</v>
      </c>
      <c r="J1052" s="11">
        <v>0.222</v>
      </c>
      <c r="K1052" s="7">
        <f t="shared" si="335"/>
        <v>174.54750000000001</v>
      </c>
      <c r="L1052" s="28" t="s">
        <v>1045</v>
      </c>
      <c r="M1052" s="29">
        <v>42.1</v>
      </c>
      <c r="N1052" s="48">
        <f t="shared" si="336"/>
        <v>30.775100000000002</v>
      </c>
      <c r="O1052" s="48">
        <f t="shared" si="337"/>
        <v>6.8320722000000007</v>
      </c>
      <c r="P1052" s="48">
        <f t="shared" si="338"/>
        <v>5371.7167672500009</v>
      </c>
      <c r="Q1052" s="48">
        <f t="shared" si="339"/>
        <v>5371.7167672500009</v>
      </c>
      <c r="R1052" s="41">
        <f t="shared" si="340"/>
        <v>7665.4398268657505</v>
      </c>
      <c r="S1052" s="9"/>
    </row>
    <row r="1053" spans="2:19" x14ac:dyDescent="0.2">
      <c r="B1053" s="61">
        <f>IF(F1053&lt;&gt;"",1+MAX($B$21:B1052),"")</f>
        <v>641</v>
      </c>
      <c r="C1053" s="197"/>
      <c r="D1053" s="73" t="s">
        <v>899</v>
      </c>
      <c r="E1053" s="14" t="s">
        <v>73</v>
      </c>
      <c r="F1053" s="19">
        <f>F1052-F1051</f>
        <v>151.84000000000003</v>
      </c>
      <c r="G1053" s="48">
        <v>8.5</v>
      </c>
      <c r="H1053" s="48">
        <f t="shared" si="333"/>
        <v>8.0919999999999987</v>
      </c>
      <c r="I1053" s="48">
        <f t="shared" si="334"/>
        <v>1228.6892800000001</v>
      </c>
      <c r="J1053" s="206"/>
      <c r="K1053" s="207">
        <f t="shared" si="335"/>
        <v>0</v>
      </c>
      <c r="L1053" s="207"/>
      <c r="M1053" s="205"/>
      <c r="N1053" s="205">
        <f t="shared" si="336"/>
        <v>0</v>
      </c>
      <c r="O1053" s="205">
        <f t="shared" si="337"/>
        <v>0</v>
      </c>
      <c r="P1053" s="205">
        <f t="shared" si="338"/>
        <v>0</v>
      </c>
      <c r="Q1053" s="48">
        <f t="shared" si="339"/>
        <v>1228.6892800000001</v>
      </c>
      <c r="R1053" s="41">
        <f t="shared" si="340"/>
        <v>1715.7417105920001</v>
      </c>
      <c r="S1053" s="9"/>
    </row>
    <row r="1054" spans="2:19" x14ac:dyDescent="0.2">
      <c r="B1054" s="61" t="str">
        <f>IF(F1054&lt;&gt;"",1+MAX($B$21:B1053),"")</f>
        <v/>
      </c>
      <c r="C1054" s="67"/>
      <c r="D1054" s="73"/>
      <c r="E1054" s="14"/>
      <c r="F1054" s="19"/>
      <c r="G1054" s="48"/>
      <c r="H1054" s="48">
        <f t="shared" si="333"/>
        <v>0</v>
      </c>
      <c r="I1054" s="48">
        <f t="shared" si="334"/>
        <v>0</v>
      </c>
      <c r="J1054" s="49"/>
      <c r="K1054" s="50">
        <f t="shared" si="335"/>
        <v>0</v>
      </c>
      <c r="L1054" s="50"/>
      <c r="M1054" s="48"/>
      <c r="N1054" s="48">
        <f t="shared" si="336"/>
        <v>0</v>
      </c>
      <c r="O1054" s="48">
        <f t="shared" si="337"/>
        <v>0</v>
      </c>
      <c r="P1054" s="48">
        <f t="shared" si="338"/>
        <v>0</v>
      </c>
      <c r="Q1054" s="48">
        <f t="shared" si="339"/>
        <v>0</v>
      </c>
      <c r="R1054" s="41">
        <f t="shared" si="340"/>
        <v>0</v>
      </c>
      <c r="S1054" s="9"/>
    </row>
    <row r="1055" spans="2:19" x14ac:dyDescent="0.2">
      <c r="B1055" s="62" t="str">
        <f>IF(F1055&lt;&gt;"",1+MAX($B$21:B1054),"")</f>
        <v/>
      </c>
      <c r="C1055" s="68"/>
      <c r="D1055" s="74" t="s">
        <v>900</v>
      </c>
      <c r="E1055" s="14"/>
      <c r="F1055" s="19"/>
      <c r="G1055" s="48"/>
      <c r="H1055" s="48">
        <f t="shared" si="333"/>
        <v>0</v>
      </c>
      <c r="I1055" s="48">
        <f t="shared" si="334"/>
        <v>0</v>
      </c>
      <c r="J1055" s="49"/>
      <c r="K1055" s="50">
        <f t="shared" si="335"/>
        <v>0</v>
      </c>
      <c r="L1055" s="50"/>
      <c r="M1055" s="48"/>
      <c r="N1055" s="48">
        <f t="shared" si="336"/>
        <v>0</v>
      </c>
      <c r="O1055" s="48">
        <f t="shared" si="337"/>
        <v>0</v>
      </c>
      <c r="P1055" s="48">
        <f t="shared" si="338"/>
        <v>0</v>
      </c>
      <c r="Q1055" s="48">
        <f t="shared" si="339"/>
        <v>0</v>
      </c>
      <c r="R1055" s="41">
        <f t="shared" si="340"/>
        <v>0</v>
      </c>
    </row>
    <row r="1056" spans="2:19" x14ac:dyDescent="0.2">
      <c r="B1056" s="61">
        <f>IF(F1056&lt;&gt;"",1+MAX($B$21:B1055),"")</f>
        <v>642</v>
      </c>
      <c r="C1056" s="198" t="s">
        <v>884</v>
      </c>
      <c r="D1056" s="73" t="s">
        <v>901</v>
      </c>
      <c r="E1056" s="14" t="s">
        <v>74</v>
      </c>
      <c r="F1056" s="19">
        <v>441.31</v>
      </c>
      <c r="G1056" s="12">
        <v>0.96</v>
      </c>
      <c r="H1056" s="12">
        <f t="shared" si="333"/>
        <v>0.91391999999999995</v>
      </c>
      <c r="I1056" s="12">
        <f t="shared" si="334"/>
        <v>403.32203519999996</v>
      </c>
      <c r="J1056" s="11">
        <v>1.2E-2</v>
      </c>
      <c r="K1056" s="7">
        <f t="shared" si="335"/>
        <v>5.2957200000000002</v>
      </c>
      <c r="L1056" s="7" t="s">
        <v>1091</v>
      </c>
      <c r="M1056" s="12">
        <v>86.87</v>
      </c>
      <c r="N1056" s="48">
        <f t="shared" si="336"/>
        <v>63.50197</v>
      </c>
      <c r="O1056" s="48">
        <f t="shared" si="337"/>
        <v>0.76202364</v>
      </c>
      <c r="P1056" s="48">
        <f t="shared" si="338"/>
        <v>336.28865256839998</v>
      </c>
      <c r="Q1056" s="48">
        <f t="shared" si="339"/>
        <v>739.61068776839988</v>
      </c>
      <c r="R1056" s="41">
        <f t="shared" si="340"/>
        <v>1043.0827971683864</v>
      </c>
      <c r="S1056" s="9"/>
    </row>
    <row r="1057" spans="2:19" x14ac:dyDescent="0.2">
      <c r="B1057" s="61">
        <f>IF(F1057&lt;&gt;"",1+MAX($B$21:B1056),"")</f>
        <v>643</v>
      </c>
      <c r="C1057" s="196"/>
      <c r="D1057" s="73" t="s">
        <v>902</v>
      </c>
      <c r="E1057" s="14" t="s">
        <v>74</v>
      </c>
      <c r="F1057" s="19">
        <v>79.459999999999994</v>
      </c>
      <c r="G1057" s="12">
        <v>1.44</v>
      </c>
      <c r="H1057" s="12">
        <f t="shared" si="333"/>
        <v>1.3708799999999999</v>
      </c>
      <c r="I1057" s="12">
        <f t="shared" si="334"/>
        <v>108.93012479999999</v>
      </c>
      <c r="J1057" s="11">
        <v>1.2E-2</v>
      </c>
      <c r="K1057" s="7">
        <f t="shared" si="335"/>
        <v>0.95351999999999992</v>
      </c>
      <c r="L1057" s="7" t="s">
        <v>1091</v>
      </c>
      <c r="M1057" s="12">
        <v>86.87</v>
      </c>
      <c r="N1057" s="48">
        <f t="shared" si="336"/>
        <v>63.50197</v>
      </c>
      <c r="O1057" s="48">
        <f t="shared" si="337"/>
        <v>0.76202364</v>
      </c>
      <c r="P1057" s="48">
        <f t="shared" si="338"/>
        <v>60.550398434399995</v>
      </c>
      <c r="Q1057" s="48">
        <f t="shared" si="339"/>
        <v>169.48052323439998</v>
      </c>
      <c r="R1057" s="41">
        <f t="shared" si="340"/>
        <v>238.51544483660876</v>
      </c>
      <c r="S1057" s="9"/>
    </row>
    <row r="1058" spans="2:19" ht="51" x14ac:dyDescent="0.2">
      <c r="B1058" s="61">
        <f>IF(F1058&lt;&gt;"",1+MAX($B$21:B1057),"")</f>
        <v>644</v>
      </c>
      <c r="C1058" s="196"/>
      <c r="D1058" s="73" t="s">
        <v>903</v>
      </c>
      <c r="E1058" s="14" t="s">
        <v>74</v>
      </c>
      <c r="F1058" s="19">
        <v>97.48</v>
      </c>
      <c r="G1058" s="12">
        <v>0.96</v>
      </c>
      <c r="H1058" s="12">
        <f t="shared" si="333"/>
        <v>0.91391999999999995</v>
      </c>
      <c r="I1058" s="12">
        <f t="shared" ref="I1058:I1059" si="341">F1058*H1058</f>
        <v>89.088921600000006</v>
      </c>
      <c r="J1058" s="11">
        <v>1.2E-2</v>
      </c>
      <c r="K1058" s="7">
        <f t="shared" ref="K1058:K1059" si="342">F1058*J1058</f>
        <v>1.1697600000000001</v>
      </c>
      <c r="L1058" s="7" t="s">
        <v>1091</v>
      </c>
      <c r="M1058" s="12">
        <v>86.87</v>
      </c>
      <c r="N1058" s="48">
        <f t="shared" si="336"/>
        <v>63.50197</v>
      </c>
      <c r="O1058" s="48">
        <f t="shared" si="337"/>
        <v>0.76202364</v>
      </c>
      <c r="P1058" s="48">
        <f t="shared" si="338"/>
        <v>74.282064427199998</v>
      </c>
      <c r="Q1058" s="48">
        <f t="shared" si="339"/>
        <v>163.37098602719999</v>
      </c>
      <c r="R1058" s="41">
        <f t="shared" si="340"/>
        <v>230.40427605985442</v>
      </c>
      <c r="S1058" s="9"/>
    </row>
    <row r="1059" spans="2:19" ht="38.25" x14ac:dyDescent="0.2">
      <c r="B1059" s="61">
        <f>IF(F1059&lt;&gt;"",1+MAX($B$21:B1058),"")</f>
        <v>645</v>
      </c>
      <c r="C1059" s="196"/>
      <c r="D1059" s="73" t="s">
        <v>904</v>
      </c>
      <c r="E1059" s="14" t="s">
        <v>79</v>
      </c>
      <c r="F1059" s="19">
        <v>1</v>
      </c>
      <c r="G1059" s="12">
        <v>26.01</v>
      </c>
      <c r="H1059" s="12">
        <f t="shared" si="333"/>
        <v>24.761520000000001</v>
      </c>
      <c r="I1059" s="12">
        <f t="shared" si="341"/>
        <v>24.761520000000001</v>
      </c>
      <c r="J1059" s="11">
        <v>0.14399999999999999</v>
      </c>
      <c r="K1059" s="7">
        <f t="shared" si="342"/>
        <v>0.14399999999999999</v>
      </c>
      <c r="L1059" s="7" t="s">
        <v>1091</v>
      </c>
      <c r="M1059" s="12">
        <v>86.87</v>
      </c>
      <c r="N1059" s="48">
        <f t="shared" si="336"/>
        <v>63.50197</v>
      </c>
      <c r="O1059" s="48">
        <f t="shared" si="337"/>
        <v>9.1442836799999991</v>
      </c>
      <c r="P1059" s="48">
        <f t="shared" si="338"/>
        <v>9.1442836799999991</v>
      </c>
      <c r="Q1059" s="48">
        <f t="shared" si="339"/>
        <v>33.905803679999998</v>
      </c>
      <c r="R1059" s="41">
        <f t="shared" si="340"/>
        <v>47.625879339360004</v>
      </c>
      <c r="S1059" s="9"/>
    </row>
    <row r="1060" spans="2:19" x14ac:dyDescent="0.2">
      <c r="B1060" s="61">
        <f>IF(F1060&lt;&gt;"",1+MAX($B$21:B1059),"")</f>
        <v>646</v>
      </c>
      <c r="C1060" s="196"/>
      <c r="D1060" s="73" t="s">
        <v>905</v>
      </c>
      <c r="E1060" s="14" t="s">
        <v>74</v>
      </c>
      <c r="F1060" s="19">
        <v>49.58</v>
      </c>
      <c r="G1060" s="12">
        <v>4.95</v>
      </c>
      <c r="H1060" s="12">
        <f t="shared" si="333"/>
        <v>4.7123999999999997</v>
      </c>
      <c r="I1060" s="12">
        <f t="shared" si="334"/>
        <v>233.64079199999998</v>
      </c>
      <c r="J1060" s="11">
        <v>2.1999999999999999E-2</v>
      </c>
      <c r="K1060" s="7">
        <f t="shared" si="335"/>
        <v>1.09076</v>
      </c>
      <c r="L1060" s="7" t="s">
        <v>1091</v>
      </c>
      <c r="M1060" s="12">
        <v>86.87</v>
      </c>
      <c r="N1060" s="48">
        <f t="shared" si="336"/>
        <v>63.50197</v>
      </c>
      <c r="O1060" s="48">
        <f t="shared" si="337"/>
        <v>1.39704334</v>
      </c>
      <c r="P1060" s="48">
        <f t="shared" si="338"/>
        <v>69.265408797199996</v>
      </c>
      <c r="Q1060" s="48">
        <f t="shared" si="339"/>
        <v>302.90620079719997</v>
      </c>
      <c r="R1060" s="41">
        <f t="shared" si="340"/>
        <v>425.09774030240436</v>
      </c>
      <c r="S1060" s="9"/>
    </row>
    <row r="1061" spans="2:19" x14ac:dyDescent="0.2">
      <c r="B1061" s="61">
        <f>IF(F1061&lt;&gt;"",1+MAX($B$21:B1060),"")</f>
        <v>647</v>
      </c>
      <c r="C1061" s="197"/>
      <c r="D1061" s="73" t="s">
        <v>906</v>
      </c>
      <c r="E1061" s="14" t="s">
        <v>79</v>
      </c>
      <c r="F1061" s="19">
        <v>2</v>
      </c>
      <c r="G1061" s="12">
        <v>98.91</v>
      </c>
      <c r="H1061" s="12">
        <f t="shared" si="333"/>
        <v>94.162319999999994</v>
      </c>
      <c r="I1061" s="12">
        <f t="shared" si="334"/>
        <v>188.32463999999999</v>
      </c>
      <c r="J1061" s="11">
        <v>0.54800000000000004</v>
      </c>
      <c r="K1061" s="7">
        <f t="shared" si="335"/>
        <v>1.0960000000000001</v>
      </c>
      <c r="L1061" s="7" t="s">
        <v>1091</v>
      </c>
      <c r="M1061" s="12">
        <v>86.87</v>
      </c>
      <c r="N1061" s="48">
        <f t="shared" si="336"/>
        <v>63.50197</v>
      </c>
      <c r="O1061" s="48">
        <f t="shared" si="337"/>
        <v>34.799079560000003</v>
      </c>
      <c r="P1061" s="48">
        <f t="shared" si="338"/>
        <v>69.598159120000005</v>
      </c>
      <c r="Q1061" s="48">
        <f t="shared" si="339"/>
        <v>257.92279911999998</v>
      </c>
      <c r="R1061" s="41">
        <f t="shared" si="340"/>
        <v>362.29310036024003</v>
      </c>
      <c r="S1061" s="9"/>
    </row>
    <row r="1062" spans="2:19" x14ac:dyDescent="0.2">
      <c r="B1062" s="61" t="str">
        <f>IF(F1062&lt;&gt;"",1+MAX($B$21:B1061),"")</f>
        <v/>
      </c>
      <c r="C1062" s="67"/>
      <c r="D1062" s="73"/>
      <c r="E1062" s="14"/>
      <c r="F1062" s="19"/>
      <c r="G1062" s="48"/>
      <c r="H1062" s="48">
        <f t="shared" si="333"/>
        <v>0</v>
      </c>
      <c r="I1062" s="48">
        <f t="shared" si="334"/>
        <v>0</v>
      </c>
      <c r="J1062" s="49"/>
      <c r="K1062" s="50">
        <f t="shared" si="335"/>
        <v>0</v>
      </c>
      <c r="L1062" s="50"/>
      <c r="M1062" s="48"/>
      <c r="N1062" s="48">
        <f t="shared" si="336"/>
        <v>0</v>
      </c>
      <c r="O1062" s="48">
        <f t="shared" si="337"/>
        <v>0</v>
      </c>
      <c r="P1062" s="48">
        <f t="shared" si="338"/>
        <v>0</v>
      </c>
      <c r="Q1062" s="48">
        <f t="shared" si="339"/>
        <v>0</v>
      </c>
      <c r="R1062" s="41">
        <f t="shared" si="340"/>
        <v>0</v>
      </c>
      <c r="S1062" s="9"/>
    </row>
    <row r="1063" spans="2:19" x14ac:dyDescent="0.2">
      <c r="B1063" s="62" t="str">
        <f>IF(F1063&lt;&gt;"",1+MAX($B$21:B1062),"")</f>
        <v/>
      </c>
      <c r="C1063" s="68"/>
      <c r="D1063" s="74" t="s">
        <v>907</v>
      </c>
      <c r="E1063" s="14"/>
      <c r="F1063" s="19"/>
      <c r="G1063" s="48"/>
      <c r="H1063" s="48">
        <f t="shared" si="333"/>
        <v>0</v>
      </c>
      <c r="I1063" s="48">
        <f t="shared" si="334"/>
        <v>0</v>
      </c>
      <c r="J1063" s="49"/>
      <c r="K1063" s="50">
        <f t="shared" si="335"/>
        <v>0</v>
      </c>
      <c r="L1063" s="50"/>
      <c r="M1063" s="48"/>
      <c r="N1063" s="48">
        <f t="shared" si="336"/>
        <v>0</v>
      </c>
      <c r="O1063" s="48">
        <f t="shared" si="337"/>
        <v>0</v>
      </c>
      <c r="P1063" s="48">
        <f t="shared" si="338"/>
        <v>0</v>
      </c>
      <c r="Q1063" s="48">
        <f t="shared" si="339"/>
        <v>0</v>
      </c>
      <c r="R1063" s="41">
        <f t="shared" si="340"/>
        <v>0</v>
      </c>
    </row>
    <row r="1064" spans="2:19" ht="200.45" customHeight="1" x14ac:dyDescent="0.2">
      <c r="B1064" s="61">
        <f>IF(F1064&lt;&gt;"",1+MAX($B$21:B1063),"")</f>
        <v>648</v>
      </c>
      <c r="C1064" s="198" t="s">
        <v>908</v>
      </c>
      <c r="D1064" s="73" t="s">
        <v>909</v>
      </c>
      <c r="E1064" s="14" t="s">
        <v>79</v>
      </c>
      <c r="F1064" s="19">
        <v>1</v>
      </c>
      <c r="G1064" s="48">
        <v>525</v>
      </c>
      <c r="H1064" s="48">
        <f t="shared" si="333"/>
        <v>499.79999999999995</v>
      </c>
      <c r="I1064" s="48">
        <f t="shared" si="334"/>
        <v>499.79999999999995</v>
      </c>
      <c r="J1064" s="11">
        <v>4</v>
      </c>
      <c r="K1064" s="7">
        <f t="shared" si="335"/>
        <v>4</v>
      </c>
      <c r="L1064" s="28" t="s">
        <v>1092</v>
      </c>
      <c r="M1064" s="29">
        <v>54.64</v>
      </c>
      <c r="N1064" s="48">
        <f t="shared" si="336"/>
        <v>39.941839999999999</v>
      </c>
      <c r="O1064" s="48">
        <f t="shared" si="337"/>
        <v>159.76736</v>
      </c>
      <c r="P1064" s="48">
        <f t="shared" si="338"/>
        <v>159.76736</v>
      </c>
      <c r="Q1064" s="48">
        <f t="shared" si="339"/>
        <v>659.56736000000001</v>
      </c>
      <c r="R1064" s="41">
        <f t="shared" si="340"/>
        <v>925.90874271999996</v>
      </c>
      <c r="S1064" s="9"/>
    </row>
    <row r="1065" spans="2:19" ht="38.25" x14ac:dyDescent="0.2">
      <c r="B1065" s="61">
        <f>IF(F1065&lt;&gt;"",1+MAX($B$21:B1064),"")</f>
        <v>649</v>
      </c>
      <c r="C1065" s="196"/>
      <c r="D1065" s="73" t="s">
        <v>910</v>
      </c>
      <c r="E1065" s="14" t="s">
        <v>79</v>
      </c>
      <c r="F1065" s="19">
        <v>3</v>
      </c>
      <c r="G1065" s="48">
        <v>255</v>
      </c>
      <c r="H1065" s="48">
        <f t="shared" si="333"/>
        <v>242.76</v>
      </c>
      <c r="I1065" s="48">
        <f t="shared" si="334"/>
        <v>728.28</v>
      </c>
      <c r="J1065" s="11">
        <v>3</v>
      </c>
      <c r="K1065" s="7">
        <f t="shared" si="335"/>
        <v>9</v>
      </c>
      <c r="L1065" s="28" t="s">
        <v>1092</v>
      </c>
      <c r="M1065" s="29">
        <v>54.64</v>
      </c>
      <c r="N1065" s="48">
        <f t="shared" si="336"/>
        <v>39.941839999999999</v>
      </c>
      <c r="O1065" s="48">
        <f t="shared" si="337"/>
        <v>119.82552</v>
      </c>
      <c r="P1065" s="48">
        <f t="shared" si="338"/>
        <v>359.47656000000001</v>
      </c>
      <c r="Q1065" s="48">
        <f t="shared" si="339"/>
        <v>1087.75656</v>
      </c>
      <c r="R1065" s="41">
        <f t="shared" si="340"/>
        <v>1529.9432431199998</v>
      </c>
      <c r="S1065" s="9"/>
    </row>
    <row r="1066" spans="2:19" x14ac:dyDescent="0.2">
      <c r="B1066" s="61">
        <f>IF(F1066&lt;&gt;"",1+MAX($B$21:B1065),"")</f>
        <v>650</v>
      </c>
      <c r="C1066" s="196"/>
      <c r="D1066" s="73" t="s">
        <v>911</v>
      </c>
      <c r="E1066" s="14" t="s">
        <v>79</v>
      </c>
      <c r="F1066" s="19">
        <v>2</v>
      </c>
      <c r="G1066" s="48">
        <v>160</v>
      </c>
      <c r="H1066" s="48">
        <f t="shared" si="333"/>
        <v>152.32</v>
      </c>
      <c r="I1066" s="48">
        <f t="shared" si="334"/>
        <v>304.64</v>
      </c>
      <c r="J1066" s="11">
        <v>0.5</v>
      </c>
      <c r="K1066" s="7">
        <f t="shared" si="335"/>
        <v>1</v>
      </c>
      <c r="L1066" s="28" t="s">
        <v>1048</v>
      </c>
      <c r="M1066" s="29">
        <v>53.15</v>
      </c>
      <c r="N1066" s="48">
        <f t="shared" si="336"/>
        <v>38.852649999999997</v>
      </c>
      <c r="O1066" s="48">
        <f t="shared" si="337"/>
        <v>19.426324999999999</v>
      </c>
      <c r="P1066" s="48">
        <f t="shared" si="338"/>
        <v>38.852649999999997</v>
      </c>
      <c r="Q1066" s="48">
        <f t="shared" si="339"/>
        <v>343.49264999999997</v>
      </c>
      <c r="R1066" s="41">
        <f t="shared" si="340"/>
        <v>480.8420275499999</v>
      </c>
      <c r="S1066" s="9"/>
    </row>
    <row r="1067" spans="2:19" x14ac:dyDescent="0.2">
      <c r="B1067" s="61" t="str">
        <f>IF(F1067&lt;&gt;"",1+MAX($B$21:B1066),"")</f>
        <v/>
      </c>
      <c r="C1067" s="196"/>
      <c r="D1067" s="73"/>
      <c r="E1067" s="14"/>
      <c r="F1067" s="19"/>
      <c r="G1067" s="48"/>
      <c r="H1067" s="48">
        <f t="shared" si="333"/>
        <v>0</v>
      </c>
      <c r="I1067" s="48">
        <f t="shared" si="334"/>
        <v>0</v>
      </c>
      <c r="J1067" s="49"/>
      <c r="K1067" s="50">
        <f t="shared" si="335"/>
        <v>0</v>
      </c>
      <c r="L1067" s="50"/>
      <c r="M1067" s="48"/>
      <c r="N1067" s="48">
        <f t="shared" si="336"/>
        <v>0</v>
      </c>
      <c r="O1067" s="48">
        <f t="shared" si="337"/>
        <v>0</v>
      </c>
      <c r="P1067" s="48">
        <f t="shared" si="338"/>
        <v>0</v>
      </c>
      <c r="Q1067" s="48">
        <f t="shared" si="339"/>
        <v>0</v>
      </c>
      <c r="R1067" s="41">
        <f t="shared" si="340"/>
        <v>0</v>
      </c>
      <c r="S1067" s="9"/>
    </row>
    <row r="1068" spans="2:19" x14ac:dyDescent="0.2">
      <c r="B1068" s="61" t="str">
        <f>IF(F1068&lt;&gt;"",1+MAX($B$21:B1067),"")</f>
        <v/>
      </c>
      <c r="C1068" s="196"/>
      <c r="D1068" s="75" t="s">
        <v>912</v>
      </c>
      <c r="E1068" s="14"/>
      <c r="F1068" s="19"/>
      <c r="G1068" s="48"/>
      <c r="H1068" s="48">
        <f t="shared" si="333"/>
        <v>0</v>
      </c>
      <c r="I1068" s="48">
        <f t="shared" si="334"/>
        <v>0</v>
      </c>
      <c r="J1068" s="49"/>
      <c r="K1068" s="50">
        <f t="shared" si="335"/>
        <v>0</v>
      </c>
      <c r="L1068" s="50"/>
      <c r="M1068" s="48"/>
      <c r="N1068" s="48">
        <f t="shared" si="336"/>
        <v>0</v>
      </c>
      <c r="O1068" s="48">
        <f t="shared" si="337"/>
        <v>0</v>
      </c>
      <c r="P1068" s="48">
        <f t="shared" si="338"/>
        <v>0</v>
      </c>
      <c r="Q1068" s="48">
        <f t="shared" si="339"/>
        <v>0</v>
      </c>
      <c r="R1068" s="41">
        <f t="shared" si="340"/>
        <v>0</v>
      </c>
      <c r="S1068" s="9"/>
    </row>
    <row r="1069" spans="2:19" ht="25.5" x14ac:dyDescent="0.2">
      <c r="B1069" s="61">
        <f>IF(F1069&lt;&gt;"",1+MAX($B$21:B1068),"")</f>
        <v>651</v>
      </c>
      <c r="C1069" s="196"/>
      <c r="D1069" s="73" t="s">
        <v>913</v>
      </c>
      <c r="E1069" s="14" t="s">
        <v>73</v>
      </c>
      <c r="F1069" s="137">
        <f>0.79*3.5*1/27</f>
        <v>0.10240740740740741</v>
      </c>
      <c r="G1069" s="12">
        <v>304.22000000000003</v>
      </c>
      <c r="H1069" s="12">
        <f t="shared" si="333"/>
        <v>289.61743999999999</v>
      </c>
      <c r="I1069" s="12">
        <f t="shared" si="334"/>
        <v>29.658971170370368</v>
      </c>
      <c r="J1069" s="11">
        <v>6.415</v>
      </c>
      <c r="K1069" s="7">
        <f t="shared" si="335"/>
        <v>0.65694351851851851</v>
      </c>
      <c r="L1069" s="28" t="s">
        <v>1050</v>
      </c>
      <c r="M1069" s="29">
        <v>52.21</v>
      </c>
      <c r="N1069" s="48">
        <f t="shared" si="336"/>
        <v>38.165509999999998</v>
      </c>
      <c r="O1069" s="48">
        <f t="shared" si="337"/>
        <v>244.83174664999999</v>
      </c>
      <c r="P1069" s="48">
        <f t="shared" si="338"/>
        <v>25.072584425453702</v>
      </c>
      <c r="Q1069" s="48">
        <f t="shared" si="339"/>
        <v>54.731555595824069</v>
      </c>
      <c r="R1069" s="41">
        <f t="shared" si="340"/>
        <v>77.194365317427611</v>
      </c>
      <c r="S1069" s="9"/>
    </row>
    <row r="1070" spans="2:19" x14ac:dyDescent="0.2">
      <c r="B1070" s="61">
        <f>IF(F1070&lt;&gt;"",1+MAX($B$21:B1069),"")</f>
        <v>652</v>
      </c>
      <c r="C1070" s="196"/>
      <c r="D1070" s="79" t="s">
        <v>914</v>
      </c>
      <c r="E1070" s="14" t="s">
        <v>73</v>
      </c>
      <c r="F1070" s="137">
        <f t="shared" ref="F1070:F1071" si="343">0.79*3.5*1/27</f>
        <v>0.10240740740740741</v>
      </c>
      <c r="G1070" s="27"/>
      <c r="H1070" s="27">
        <f t="shared" si="333"/>
        <v>0</v>
      </c>
      <c r="I1070" s="27">
        <f t="shared" si="334"/>
        <v>0</v>
      </c>
      <c r="J1070" s="11">
        <v>1.698</v>
      </c>
      <c r="K1070" s="7">
        <f t="shared" si="335"/>
        <v>0.17388777777777778</v>
      </c>
      <c r="L1070" s="28" t="s">
        <v>1045</v>
      </c>
      <c r="M1070" s="29">
        <v>42.1</v>
      </c>
      <c r="N1070" s="48">
        <f t="shared" si="336"/>
        <v>30.775100000000002</v>
      </c>
      <c r="O1070" s="48">
        <f t="shared" si="337"/>
        <v>52.2561198</v>
      </c>
      <c r="P1070" s="48">
        <f t="shared" si="338"/>
        <v>5.3514137498888887</v>
      </c>
      <c r="Q1070" s="48">
        <f t="shared" si="339"/>
        <v>5.3514137498888887</v>
      </c>
      <c r="R1070" s="41">
        <f t="shared" si="340"/>
        <v>7.6364674210914441</v>
      </c>
      <c r="S1070" s="9"/>
    </row>
    <row r="1071" spans="2:19" x14ac:dyDescent="0.2">
      <c r="B1071" s="61">
        <f>IF(F1071&lt;&gt;"",1+MAX($B$21:B1070),"")</f>
        <v>653</v>
      </c>
      <c r="C1071" s="196"/>
      <c r="D1071" s="79" t="s">
        <v>915</v>
      </c>
      <c r="E1071" s="14" t="s">
        <v>73</v>
      </c>
      <c r="F1071" s="137">
        <f t="shared" si="343"/>
        <v>0.10240740740740741</v>
      </c>
      <c r="G1071" s="27"/>
      <c r="H1071" s="27">
        <f t="shared" si="333"/>
        <v>0</v>
      </c>
      <c r="I1071" s="27">
        <f t="shared" si="334"/>
        <v>0</v>
      </c>
      <c r="J1071" s="11">
        <v>0.42499999999999999</v>
      </c>
      <c r="K1071" s="7">
        <f t="shared" si="335"/>
        <v>4.3523148148148144E-2</v>
      </c>
      <c r="L1071" s="28" t="s">
        <v>1045</v>
      </c>
      <c r="M1071" s="29">
        <v>42.1</v>
      </c>
      <c r="N1071" s="48">
        <f t="shared" si="336"/>
        <v>30.775100000000002</v>
      </c>
      <c r="O1071" s="48">
        <f t="shared" si="337"/>
        <v>13.0794175</v>
      </c>
      <c r="P1071" s="48">
        <f t="shared" si="338"/>
        <v>1.3394292365740741</v>
      </c>
      <c r="Q1071" s="48">
        <f t="shared" si="339"/>
        <v>1.3394292365740741</v>
      </c>
      <c r="R1071" s="41">
        <f t="shared" si="340"/>
        <v>1.9113655205912037</v>
      </c>
      <c r="S1071" s="9"/>
    </row>
    <row r="1072" spans="2:19" x14ac:dyDescent="0.2">
      <c r="B1072" s="61" t="str">
        <f>IF(F1072&lt;&gt;"",1+MAX($B$21:B1071),"")</f>
        <v/>
      </c>
      <c r="C1072" s="196"/>
      <c r="D1072" s="73"/>
      <c r="E1072" s="14"/>
      <c r="F1072" s="19"/>
      <c r="G1072" s="48"/>
      <c r="H1072" s="48">
        <f t="shared" si="333"/>
        <v>0</v>
      </c>
      <c r="I1072" s="48">
        <f t="shared" si="334"/>
        <v>0</v>
      </c>
      <c r="J1072" s="49"/>
      <c r="K1072" s="50">
        <f t="shared" si="335"/>
        <v>0</v>
      </c>
      <c r="L1072" s="50"/>
      <c r="M1072" s="48"/>
      <c r="N1072" s="48">
        <f t="shared" si="336"/>
        <v>0</v>
      </c>
      <c r="O1072" s="48">
        <f t="shared" si="337"/>
        <v>0</v>
      </c>
      <c r="P1072" s="48">
        <f t="shared" si="338"/>
        <v>0</v>
      </c>
      <c r="Q1072" s="48">
        <f t="shared" si="339"/>
        <v>0</v>
      </c>
      <c r="R1072" s="41">
        <f t="shared" si="340"/>
        <v>0</v>
      </c>
      <c r="S1072" s="9"/>
    </row>
    <row r="1073" spans="2:19" ht="25.5" x14ac:dyDescent="0.2">
      <c r="B1073" s="61">
        <f>IF(F1073&lt;&gt;"",1+MAX($B$21:B1072),"")</f>
        <v>654</v>
      </c>
      <c r="C1073" s="196"/>
      <c r="D1073" s="73" t="s">
        <v>916</v>
      </c>
      <c r="E1073" s="14" t="s">
        <v>73</v>
      </c>
      <c r="F1073" s="137">
        <f>0.35*3*5/27</f>
        <v>0.19444444444444442</v>
      </c>
      <c r="G1073" s="12">
        <v>304.22000000000003</v>
      </c>
      <c r="H1073" s="12">
        <f t="shared" si="333"/>
        <v>289.61743999999999</v>
      </c>
      <c r="I1073" s="12">
        <f t="shared" ref="I1073:I1075" si="344">F1073*H1073</f>
        <v>56.31450222222221</v>
      </c>
      <c r="J1073" s="11">
        <v>6.415</v>
      </c>
      <c r="K1073" s="7">
        <f t="shared" ref="K1073:K1075" si="345">F1073*J1073</f>
        <v>1.2473611111111109</v>
      </c>
      <c r="L1073" s="28" t="s">
        <v>1050</v>
      </c>
      <c r="M1073" s="29">
        <v>52.21</v>
      </c>
      <c r="N1073" s="48">
        <f t="shared" si="336"/>
        <v>38.165509999999998</v>
      </c>
      <c r="O1073" s="48">
        <f t="shared" ref="O1073:O1075" si="346">J1073*N1073</f>
        <v>244.83174664999999</v>
      </c>
      <c r="P1073" s="48">
        <f t="shared" ref="P1073:P1075" si="347">F1073*O1073</f>
        <v>47.606172959722215</v>
      </c>
      <c r="Q1073" s="48">
        <f t="shared" ref="Q1073:Q1075" si="348">I1073+P1073</f>
        <v>103.92067518194443</v>
      </c>
      <c r="R1073" s="41">
        <f t="shared" ref="R1073:R1075" si="349">Q1073+(I1073*$Q$7)+(P1073*$Q$8)+(Q1073*$Q$9)+(Q1073*$Q$11)+($Q$10*(Q1073+(I1073*$Q$7)+(P1073*$Q$8)+(Q1073*$Q$9)))</f>
        <v>146.57157971663469</v>
      </c>
      <c r="S1073" s="9"/>
    </row>
    <row r="1074" spans="2:19" x14ac:dyDescent="0.2">
      <c r="B1074" s="61">
        <f>IF(F1074&lt;&gt;"",1+MAX($B$21:B1073),"")</f>
        <v>655</v>
      </c>
      <c r="C1074" s="196"/>
      <c r="D1074" s="79" t="s">
        <v>914</v>
      </c>
      <c r="E1074" s="14" t="s">
        <v>73</v>
      </c>
      <c r="F1074" s="137">
        <f t="shared" ref="F1074:F1075" si="350">0.35*3*5/27</f>
        <v>0.19444444444444442</v>
      </c>
      <c r="G1074" s="27"/>
      <c r="H1074" s="27">
        <f t="shared" si="333"/>
        <v>0</v>
      </c>
      <c r="I1074" s="27">
        <f t="shared" si="344"/>
        <v>0</v>
      </c>
      <c r="J1074" s="11">
        <v>1.698</v>
      </c>
      <c r="K1074" s="7">
        <f t="shared" si="345"/>
        <v>0.33016666666666661</v>
      </c>
      <c r="L1074" s="28" t="s">
        <v>1045</v>
      </c>
      <c r="M1074" s="29">
        <v>42.1</v>
      </c>
      <c r="N1074" s="48">
        <f t="shared" si="336"/>
        <v>30.775100000000002</v>
      </c>
      <c r="O1074" s="48">
        <f t="shared" si="346"/>
        <v>52.2561198</v>
      </c>
      <c r="P1074" s="48">
        <f t="shared" si="347"/>
        <v>10.160912183333332</v>
      </c>
      <c r="Q1074" s="48">
        <f t="shared" si="348"/>
        <v>10.160912183333332</v>
      </c>
      <c r="R1074" s="41">
        <f t="shared" si="349"/>
        <v>14.499621685616665</v>
      </c>
      <c r="S1074" s="9"/>
    </row>
    <row r="1075" spans="2:19" x14ac:dyDescent="0.2">
      <c r="B1075" s="61">
        <f>IF(F1075&lt;&gt;"",1+MAX($B$21:B1074),"")</f>
        <v>656</v>
      </c>
      <c r="C1075" s="197"/>
      <c r="D1075" s="79" t="s">
        <v>915</v>
      </c>
      <c r="E1075" s="14" t="s">
        <v>73</v>
      </c>
      <c r="F1075" s="137">
        <f t="shared" si="350"/>
        <v>0.19444444444444442</v>
      </c>
      <c r="G1075" s="27"/>
      <c r="H1075" s="27">
        <f t="shared" si="333"/>
        <v>0</v>
      </c>
      <c r="I1075" s="27">
        <f t="shared" si="344"/>
        <v>0</v>
      </c>
      <c r="J1075" s="11">
        <v>0.42499999999999999</v>
      </c>
      <c r="K1075" s="7">
        <f t="shared" si="345"/>
        <v>8.2638888888888873E-2</v>
      </c>
      <c r="L1075" s="28" t="s">
        <v>1045</v>
      </c>
      <c r="M1075" s="29">
        <v>42.1</v>
      </c>
      <c r="N1075" s="48">
        <f t="shared" si="336"/>
        <v>30.775100000000002</v>
      </c>
      <c r="O1075" s="48">
        <f t="shared" si="346"/>
        <v>13.0794175</v>
      </c>
      <c r="P1075" s="48">
        <f t="shared" si="347"/>
        <v>2.5432200694444442</v>
      </c>
      <c r="Q1075" s="48">
        <f t="shared" si="348"/>
        <v>2.5432200694444442</v>
      </c>
      <c r="R1075" s="41">
        <f t="shared" si="349"/>
        <v>3.6291750390972219</v>
      </c>
      <c r="S1075" s="9"/>
    </row>
    <row r="1076" spans="2:19" x14ac:dyDescent="0.2">
      <c r="B1076" s="61" t="str">
        <f>IF(F1076&lt;&gt;"",1+MAX($B$21:B1075),"")</f>
        <v/>
      </c>
      <c r="C1076" s="67"/>
      <c r="D1076" s="73"/>
      <c r="E1076" s="14"/>
      <c r="F1076" s="137"/>
      <c r="G1076" s="48"/>
      <c r="H1076" s="48">
        <f t="shared" si="333"/>
        <v>0</v>
      </c>
      <c r="I1076" s="48">
        <f t="shared" si="334"/>
        <v>0</v>
      </c>
      <c r="J1076" s="49"/>
      <c r="K1076" s="50">
        <f t="shared" si="335"/>
        <v>0</v>
      </c>
      <c r="L1076" s="50"/>
      <c r="M1076" s="48"/>
      <c r="N1076" s="48">
        <f t="shared" si="336"/>
        <v>0</v>
      </c>
      <c r="O1076" s="48">
        <f t="shared" si="337"/>
        <v>0</v>
      </c>
      <c r="P1076" s="48">
        <f t="shared" si="338"/>
        <v>0</v>
      </c>
      <c r="Q1076" s="48">
        <f t="shared" si="339"/>
        <v>0</v>
      </c>
      <c r="R1076" s="41">
        <f t="shared" si="340"/>
        <v>0</v>
      </c>
      <c r="S1076" s="9"/>
    </row>
    <row r="1077" spans="2:19" x14ac:dyDescent="0.2">
      <c r="B1077" s="62" t="str">
        <f>IF(F1077&lt;&gt;"",1+MAX($B$21:B1076),"")</f>
        <v/>
      </c>
      <c r="C1077" s="68"/>
      <c r="D1077" s="74" t="s">
        <v>863</v>
      </c>
      <c r="E1077" s="14"/>
      <c r="F1077" s="19"/>
      <c r="G1077" s="48"/>
      <c r="H1077" s="48">
        <f t="shared" si="333"/>
        <v>0</v>
      </c>
      <c r="I1077" s="48">
        <f t="shared" si="334"/>
        <v>0</v>
      </c>
      <c r="J1077" s="49"/>
      <c r="K1077" s="50">
        <f t="shared" si="335"/>
        <v>0</v>
      </c>
      <c r="L1077" s="50"/>
      <c r="M1077" s="48"/>
      <c r="N1077" s="48">
        <f t="shared" si="336"/>
        <v>0</v>
      </c>
      <c r="O1077" s="48">
        <f t="shared" si="337"/>
        <v>0</v>
      </c>
      <c r="P1077" s="48">
        <f t="shared" si="338"/>
        <v>0</v>
      </c>
      <c r="Q1077" s="48">
        <f t="shared" si="339"/>
        <v>0</v>
      </c>
      <c r="R1077" s="41">
        <f t="shared" si="340"/>
        <v>0</v>
      </c>
    </row>
    <row r="1078" spans="2:19" x14ac:dyDescent="0.2">
      <c r="B1078" s="61">
        <f>IF(F1078&lt;&gt;"",1+MAX($B$21:B1077),"")</f>
        <v>657</v>
      </c>
      <c r="C1078" s="198" t="s">
        <v>884</v>
      </c>
      <c r="D1078" s="73" t="s">
        <v>917</v>
      </c>
      <c r="E1078" s="14" t="s">
        <v>72</v>
      </c>
      <c r="F1078" s="19">
        <v>16</v>
      </c>
      <c r="G1078" s="12">
        <v>5.6</v>
      </c>
      <c r="H1078" s="12">
        <f t="shared" si="333"/>
        <v>5.3311999999999991</v>
      </c>
      <c r="I1078" s="12">
        <f t="shared" si="334"/>
        <v>85.299199999999985</v>
      </c>
      <c r="J1078" s="11">
        <v>8.3000000000000004E-2</v>
      </c>
      <c r="K1078" s="7">
        <f t="shared" si="335"/>
        <v>1.3280000000000001</v>
      </c>
      <c r="L1078" s="28" t="s">
        <v>1047</v>
      </c>
      <c r="M1078" s="29">
        <v>47.35</v>
      </c>
      <c r="N1078" s="48">
        <f t="shared" si="336"/>
        <v>34.612850000000002</v>
      </c>
      <c r="O1078" s="48">
        <f t="shared" si="337"/>
        <v>2.8728665500000004</v>
      </c>
      <c r="P1078" s="48">
        <f t="shared" si="338"/>
        <v>45.965864800000006</v>
      </c>
      <c r="Q1078" s="48">
        <f t="shared" si="339"/>
        <v>131.2650648</v>
      </c>
      <c r="R1078" s="41">
        <f t="shared" si="340"/>
        <v>184.70509194960002</v>
      </c>
      <c r="S1078" s="9"/>
    </row>
    <row r="1079" spans="2:19" ht="25.5" x14ac:dyDescent="0.2">
      <c r="B1079" s="61">
        <f>IF(F1079&lt;&gt;"",1+MAX($B$21:B1078),"")</f>
        <v>658</v>
      </c>
      <c r="C1079" s="197"/>
      <c r="D1079" s="73" t="s">
        <v>918</v>
      </c>
      <c r="E1079" s="14" t="s">
        <v>72</v>
      </c>
      <c r="F1079" s="19">
        <f>1.5*1.5*6</f>
        <v>13.5</v>
      </c>
      <c r="G1079" s="12">
        <v>4.59</v>
      </c>
      <c r="H1079" s="12">
        <f t="shared" si="333"/>
        <v>4.3696799999999998</v>
      </c>
      <c r="I1079" s="12">
        <f t="shared" si="334"/>
        <v>58.990679999999998</v>
      </c>
      <c r="J1079" s="11">
        <v>8.1000000000000003E-2</v>
      </c>
      <c r="K1079" s="7">
        <f t="shared" si="335"/>
        <v>1.0935000000000001</v>
      </c>
      <c r="L1079" s="28" t="s">
        <v>1047</v>
      </c>
      <c r="M1079" s="29">
        <v>47.35</v>
      </c>
      <c r="N1079" s="48">
        <f t="shared" si="336"/>
        <v>34.612850000000002</v>
      </c>
      <c r="O1079" s="48">
        <f t="shared" si="337"/>
        <v>2.8036408500000003</v>
      </c>
      <c r="P1079" s="48">
        <f t="shared" si="338"/>
        <v>37.849151475000006</v>
      </c>
      <c r="Q1079" s="48">
        <f t="shared" si="339"/>
        <v>96.839831475000011</v>
      </c>
      <c r="R1079" s="41">
        <f t="shared" si="340"/>
        <v>136.385324706825</v>
      </c>
      <c r="S1079" s="9"/>
    </row>
    <row r="1080" spans="2:19" x14ac:dyDescent="0.2">
      <c r="B1080" s="61" t="str">
        <f>IF(F1080&lt;&gt;"",1+MAX($B$21:B1079),"")</f>
        <v/>
      </c>
      <c r="C1080" s="67"/>
      <c r="D1080" s="73"/>
      <c r="E1080" s="14"/>
      <c r="F1080" s="19"/>
      <c r="G1080" s="48"/>
      <c r="H1080" s="48">
        <f t="shared" si="333"/>
        <v>0</v>
      </c>
      <c r="I1080" s="48">
        <f t="shared" si="334"/>
        <v>0</v>
      </c>
      <c r="J1080" s="49"/>
      <c r="K1080" s="50">
        <f t="shared" si="335"/>
        <v>0</v>
      </c>
      <c r="L1080" s="50"/>
      <c r="M1080" s="48"/>
      <c r="N1080" s="48">
        <f t="shared" si="336"/>
        <v>0</v>
      </c>
      <c r="O1080" s="48">
        <f t="shared" si="337"/>
        <v>0</v>
      </c>
      <c r="P1080" s="48">
        <f t="shared" si="338"/>
        <v>0</v>
      </c>
      <c r="Q1080" s="48">
        <f t="shared" si="339"/>
        <v>0</v>
      </c>
      <c r="R1080" s="41">
        <f t="shared" si="340"/>
        <v>0</v>
      </c>
      <c r="S1080" s="9"/>
    </row>
    <row r="1081" spans="2:19" x14ac:dyDescent="0.2">
      <c r="B1081" s="62" t="str">
        <f>IF(F1081&lt;&gt;"",1+MAX($B$21:B1080),"")</f>
        <v/>
      </c>
      <c r="C1081" s="68"/>
      <c r="D1081" s="74" t="s">
        <v>919</v>
      </c>
      <c r="E1081" s="14"/>
      <c r="F1081" s="19"/>
      <c r="G1081" s="48"/>
      <c r="H1081" s="48">
        <f t="shared" si="333"/>
        <v>0</v>
      </c>
      <c r="I1081" s="48">
        <f t="shared" si="334"/>
        <v>0</v>
      </c>
      <c r="J1081" s="49"/>
      <c r="K1081" s="50">
        <f t="shared" si="335"/>
        <v>0</v>
      </c>
      <c r="L1081" s="50"/>
      <c r="M1081" s="48"/>
      <c r="N1081" s="48">
        <f t="shared" si="336"/>
        <v>0</v>
      </c>
      <c r="O1081" s="48">
        <f t="shared" si="337"/>
        <v>0</v>
      </c>
      <c r="P1081" s="48">
        <f t="shared" si="338"/>
        <v>0</v>
      </c>
      <c r="Q1081" s="48">
        <f t="shared" si="339"/>
        <v>0</v>
      </c>
      <c r="R1081" s="41">
        <f t="shared" si="340"/>
        <v>0</v>
      </c>
    </row>
    <row r="1082" spans="2:19" x14ac:dyDescent="0.2">
      <c r="B1082" s="61">
        <f>IF(F1082&lt;&gt;"",1+MAX($B$21:B1081),"")</f>
        <v>659</v>
      </c>
      <c r="C1082" s="198"/>
      <c r="D1082" s="140" t="s">
        <v>920</v>
      </c>
      <c r="E1082" s="14" t="s">
        <v>79</v>
      </c>
      <c r="F1082" s="19">
        <v>2</v>
      </c>
      <c r="G1082" s="48"/>
      <c r="H1082" s="48">
        <f t="shared" si="333"/>
        <v>0</v>
      </c>
      <c r="I1082" s="48">
        <f t="shared" si="334"/>
        <v>0</v>
      </c>
      <c r="J1082" s="49"/>
      <c r="K1082" s="50">
        <f t="shared" si="335"/>
        <v>0</v>
      </c>
      <c r="L1082" s="50"/>
      <c r="M1082" s="48"/>
      <c r="N1082" s="48">
        <f t="shared" si="336"/>
        <v>0</v>
      </c>
      <c r="O1082" s="48">
        <f t="shared" si="337"/>
        <v>0</v>
      </c>
      <c r="P1082" s="48">
        <f t="shared" si="338"/>
        <v>0</v>
      </c>
      <c r="Q1082" s="48">
        <f t="shared" si="339"/>
        <v>0</v>
      </c>
      <c r="R1082" s="41">
        <f t="shared" si="340"/>
        <v>0</v>
      </c>
      <c r="S1082" s="9"/>
    </row>
    <row r="1083" spans="2:19" ht="25.5" x14ac:dyDescent="0.2">
      <c r="B1083" s="61">
        <f>IF(F1083&lt;&gt;"",1+MAX($B$21:B1082),"")</f>
        <v>660</v>
      </c>
      <c r="C1083" s="196"/>
      <c r="D1083" s="140" t="s">
        <v>921</v>
      </c>
      <c r="E1083" s="14" t="s">
        <v>73</v>
      </c>
      <c r="F1083" s="137">
        <f>0.79*1*4/27</f>
        <v>0.11703703703703704</v>
      </c>
      <c r="G1083" s="12">
        <v>304.22000000000003</v>
      </c>
      <c r="H1083" s="12">
        <f t="shared" si="333"/>
        <v>289.61743999999999</v>
      </c>
      <c r="I1083" s="12">
        <f t="shared" ref="I1083:I1085" si="351">F1083*H1083</f>
        <v>33.895967051851848</v>
      </c>
      <c r="J1083" s="11">
        <v>6.415</v>
      </c>
      <c r="K1083" s="7">
        <f t="shared" ref="K1083:K1085" si="352">F1083*J1083</f>
        <v>0.75079259259259257</v>
      </c>
      <c r="L1083" s="28" t="s">
        <v>1050</v>
      </c>
      <c r="M1083" s="29">
        <v>52.21</v>
      </c>
      <c r="N1083" s="48">
        <f t="shared" si="336"/>
        <v>38.165509999999998</v>
      </c>
      <c r="O1083" s="48">
        <f t="shared" ref="O1083:O1085" si="353">J1083*N1083</f>
        <v>244.83174664999999</v>
      </c>
      <c r="P1083" s="48">
        <f t="shared" ref="P1083:P1085" si="354">F1083*O1083</f>
        <v>28.654382200518516</v>
      </c>
      <c r="Q1083" s="48">
        <f t="shared" ref="Q1083:Q1085" si="355">I1083+P1083</f>
        <v>62.550349252370367</v>
      </c>
      <c r="R1083" s="41">
        <f t="shared" ref="R1083:R1085" si="356">Q1083+(I1083*$Q$7)+(P1083*$Q$8)+(Q1083*$Q$9)+(Q1083*$Q$11)+($Q$10*(Q1083+(I1083*$Q$7)+(P1083*$Q$8)+(Q1083*$Q$9)))</f>
        <v>88.222131791345845</v>
      </c>
      <c r="S1083" s="9"/>
    </row>
    <row r="1084" spans="2:19" x14ac:dyDescent="0.2">
      <c r="B1084" s="61">
        <f>IF(F1084&lt;&gt;"",1+MAX($B$21:B1083),"")</f>
        <v>661</v>
      </c>
      <c r="C1084" s="196"/>
      <c r="D1084" s="141" t="s">
        <v>914</v>
      </c>
      <c r="E1084" s="14" t="s">
        <v>73</v>
      </c>
      <c r="F1084" s="137">
        <f t="shared" ref="F1084:F1085" si="357">0.79*1*4/27</f>
        <v>0.11703703703703704</v>
      </c>
      <c r="G1084" s="27"/>
      <c r="H1084" s="27">
        <f t="shared" si="333"/>
        <v>0</v>
      </c>
      <c r="I1084" s="27">
        <f t="shared" si="351"/>
        <v>0</v>
      </c>
      <c r="J1084" s="11">
        <v>1.698</v>
      </c>
      <c r="K1084" s="7">
        <f t="shared" si="352"/>
        <v>0.19872888888888887</v>
      </c>
      <c r="L1084" s="28" t="s">
        <v>1045</v>
      </c>
      <c r="M1084" s="29">
        <v>42.1</v>
      </c>
      <c r="N1084" s="48">
        <f t="shared" si="336"/>
        <v>30.775100000000002</v>
      </c>
      <c r="O1084" s="48">
        <f t="shared" si="353"/>
        <v>52.2561198</v>
      </c>
      <c r="P1084" s="48">
        <f t="shared" si="354"/>
        <v>6.1159014284444444</v>
      </c>
      <c r="Q1084" s="48">
        <f t="shared" si="355"/>
        <v>6.1159014284444444</v>
      </c>
      <c r="R1084" s="41">
        <f t="shared" si="356"/>
        <v>8.7273913383902233</v>
      </c>
      <c r="S1084" s="9"/>
    </row>
    <row r="1085" spans="2:19" x14ac:dyDescent="0.2">
      <c r="B1085" s="61">
        <f>IF(F1085&lt;&gt;"",1+MAX($B$21:B1084),"")</f>
        <v>662</v>
      </c>
      <c r="C1085" s="196"/>
      <c r="D1085" s="141" t="s">
        <v>915</v>
      </c>
      <c r="E1085" s="14" t="s">
        <v>73</v>
      </c>
      <c r="F1085" s="137">
        <f t="shared" si="357"/>
        <v>0.11703703703703704</v>
      </c>
      <c r="G1085" s="27"/>
      <c r="H1085" s="27">
        <f t="shared" si="333"/>
        <v>0</v>
      </c>
      <c r="I1085" s="27">
        <f t="shared" si="351"/>
        <v>0</v>
      </c>
      <c r="J1085" s="11">
        <v>0.42499999999999999</v>
      </c>
      <c r="K1085" s="7">
        <f t="shared" si="352"/>
        <v>4.9740740740740738E-2</v>
      </c>
      <c r="L1085" s="28" t="s">
        <v>1045</v>
      </c>
      <c r="M1085" s="29">
        <v>42.1</v>
      </c>
      <c r="N1085" s="48">
        <f t="shared" si="336"/>
        <v>30.775100000000002</v>
      </c>
      <c r="O1085" s="48">
        <f t="shared" si="353"/>
        <v>13.0794175</v>
      </c>
      <c r="P1085" s="48">
        <f t="shared" si="354"/>
        <v>1.5307762703703705</v>
      </c>
      <c r="Q1085" s="48">
        <f t="shared" si="355"/>
        <v>1.5307762703703705</v>
      </c>
      <c r="R1085" s="41">
        <f t="shared" si="356"/>
        <v>2.184417737818519</v>
      </c>
      <c r="S1085" s="9"/>
    </row>
    <row r="1086" spans="2:19" x14ac:dyDescent="0.2">
      <c r="B1086" s="61" t="str">
        <f>IF(F1086&lt;&gt;"",1+MAX($B$21:B1085),"")</f>
        <v/>
      </c>
      <c r="C1086" s="67"/>
      <c r="D1086" s="73"/>
      <c r="E1086" s="14"/>
      <c r="F1086" s="19"/>
      <c r="G1086" s="48"/>
      <c r="H1086" s="48">
        <f t="shared" si="333"/>
        <v>0</v>
      </c>
      <c r="I1086" s="48">
        <f t="shared" si="334"/>
        <v>0</v>
      </c>
      <c r="J1086" s="49"/>
      <c r="K1086" s="50">
        <f t="shared" si="335"/>
        <v>0</v>
      </c>
      <c r="L1086" s="50"/>
      <c r="M1086" s="48"/>
      <c r="N1086" s="48">
        <f t="shared" si="336"/>
        <v>0</v>
      </c>
      <c r="O1086" s="48">
        <f t="shared" si="337"/>
        <v>0</v>
      </c>
      <c r="P1086" s="48">
        <f t="shared" si="338"/>
        <v>0</v>
      </c>
      <c r="Q1086" s="48">
        <f t="shared" si="339"/>
        <v>0</v>
      </c>
      <c r="R1086" s="41">
        <f t="shared" si="340"/>
        <v>0</v>
      </c>
      <c r="S1086" s="9"/>
    </row>
    <row r="1087" spans="2:19" x14ac:dyDescent="0.2">
      <c r="B1087" s="62" t="str">
        <f>IF(F1087&lt;&gt;"",1+MAX($B$21:B1086),"")</f>
        <v/>
      </c>
      <c r="C1087" s="68"/>
      <c r="D1087" s="74" t="s">
        <v>922</v>
      </c>
      <c r="E1087" s="14"/>
      <c r="F1087" s="19"/>
      <c r="G1087" s="48"/>
      <c r="H1087" s="48">
        <f t="shared" si="333"/>
        <v>0</v>
      </c>
      <c r="I1087" s="48">
        <f t="shared" si="334"/>
        <v>0</v>
      </c>
      <c r="J1087" s="49"/>
      <c r="K1087" s="50">
        <f t="shared" si="335"/>
        <v>0</v>
      </c>
      <c r="L1087" s="50"/>
      <c r="M1087" s="48"/>
      <c r="N1087" s="48">
        <f t="shared" si="336"/>
        <v>0</v>
      </c>
      <c r="O1087" s="48">
        <f t="shared" si="337"/>
        <v>0</v>
      </c>
      <c r="P1087" s="48">
        <f t="shared" si="338"/>
        <v>0</v>
      </c>
      <c r="Q1087" s="48">
        <f t="shared" si="339"/>
        <v>0</v>
      </c>
      <c r="R1087" s="41">
        <f t="shared" si="340"/>
        <v>0</v>
      </c>
    </row>
    <row r="1088" spans="2:19" x14ac:dyDescent="0.2">
      <c r="B1088" s="61" t="str">
        <f>IF(F1088&lt;&gt;"",1+MAX($B$21:B1087),"")</f>
        <v/>
      </c>
      <c r="C1088" s="67"/>
      <c r="D1088" s="73"/>
      <c r="E1088" s="14"/>
      <c r="F1088" s="19"/>
      <c r="G1088" s="48"/>
      <c r="H1088" s="48">
        <f t="shared" si="333"/>
        <v>0</v>
      </c>
      <c r="I1088" s="48">
        <f t="shared" si="334"/>
        <v>0</v>
      </c>
      <c r="J1088" s="49"/>
      <c r="K1088" s="50">
        <f t="shared" si="335"/>
        <v>0</v>
      </c>
      <c r="L1088" s="50"/>
      <c r="M1088" s="48"/>
      <c r="N1088" s="48">
        <f t="shared" si="336"/>
        <v>0</v>
      </c>
      <c r="O1088" s="48">
        <f t="shared" si="337"/>
        <v>0</v>
      </c>
      <c r="P1088" s="48">
        <f t="shared" si="338"/>
        <v>0</v>
      </c>
      <c r="Q1088" s="48">
        <f t="shared" si="339"/>
        <v>0</v>
      </c>
      <c r="R1088" s="41">
        <f t="shared" si="340"/>
        <v>0</v>
      </c>
      <c r="S1088" s="9"/>
    </row>
    <row r="1089" spans="2:19" x14ac:dyDescent="0.2">
      <c r="B1089" s="61" t="str">
        <f>IF(F1089&lt;&gt;"",1+MAX($B$21:B1088),"")</f>
        <v/>
      </c>
      <c r="C1089" s="67"/>
      <c r="D1089" s="75" t="s">
        <v>923</v>
      </c>
      <c r="E1089" s="14"/>
      <c r="F1089" s="19"/>
      <c r="G1089" s="48"/>
      <c r="H1089" s="48">
        <f t="shared" si="333"/>
        <v>0</v>
      </c>
      <c r="I1089" s="48">
        <f t="shared" si="334"/>
        <v>0</v>
      </c>
      <c r="J1089" s="49"/>
      <c r="K1089" s="50">
        <f t="shared" si="335"/>
        <v>0</v>
      </c>
      <c r="L1089" s="50"/>
      <c r="M1089" s="48"/>
      <c r="N1089" s="48">
        <f t="shared" si="336"/>
        <v>0</v>
      </c>
      <c r="O1089" s="48">
        <f t="shared" si="337"/>
        <v>0</v>
      </c>
      <c r="P1089" s="48">
        <f t="shared" si="338"/>
        <v>0</v>
      </c>
      <c r="Q1089" s="48">
        <f t="shared" si="339"/>
        <v>0</v>
      </c>
      <c r="R1089" s="41">
        <f t="shared" si="340"/>
        <v>0</v>
      </c>
      <c r="S1089" s="9"/>
    </row>
    <row r="1090" spans="2:19" ht="38.25" x14ac:dyDescent="0.2">
      <c r="B1090" s="61">
        <f>IF(F1090&lt;&gt;"",1+MAX($B$21:B1089),"")</f>
        <v>663</v>
      </c>
      <c r="C1090" s="198" t="s">
        <v>924</v>
      </c>
      <c r="D1090" s="209" t="s">
        <v>925</v>
      </c>
      <c r="E1090" s="14" t="s">
        <v>72</v>
      </c>
      <c r="F1090" s="19">
        <v>384.31</v>
      </c>
      <c r="G1090" s="12">
        <v>3.69</v>
      </c>
      <c r="H1090" s="12">
        <f t="shared" si="333"/>
        <v>3.51288</v>
      </c>
      <c r="I1090" s="12">
        <f t="shared" si="334"/>
        <v>1350.0349128</v>
      </c>
      <c r="J1090" s="11">
        <v>7.8E-2</v>
      </c>
      <c r="K1090" s="7">
        <f t="shared" si="335"/>
        <v>29.976179999999999</v>
      </c>
      <c r="L1090" s="28" t="s">
        <v>1047</v>
      </c>
      <c r="M1090" s="29">
        <v>47.35</v>
      </c>
      <c r="N1090" s="48">
        <f t="shared" si="336"/>
        <v>34.612850000000002</v>
      </c>
      <c r="O1090" s="48">
        <f t="shared" si="337"/>
        <v>2.6998023</v>
      </c>
      <c r="P1090" s="48">
        <f t="shared" si="338"/>
        <v>1037.5610219130001</v>
      </c>
      <c r="Q1090" s="48">
        <f t="shared" si="339"/>
        <v>2387.5959347130001</v>
      </c>
      <c r="R1090" s="41">
        <f t="shared" si="340"/>
        <v>3365.7883305037712</v>
      </c>
      <c r="S1090" s="9"/>
    </row>
    <row r="1091" spans="2:19" x14ac:dyDescent="0.2">
      <c r="B1091" s="61" t="str">
        <f>IF(F1091&lt;&gt;"",1+MAX($B$21:B1090),"")</f>
        <v/>
      </c>
      <c r="C1091" s="196"/>
      <c r="D1091" s="209"/>
      <c r="E1091" s="14"/>
      <c r="F1091" s="19"/>
      <c r="G1091" s="48"/>
      <c r="H1091" s="48">
        <f t="shared" si="333"/>
        <v>0</v>
      </c>
      <c r="I1091" s="48">
        <f t="shared" si="334"/>
        <v>0</v>
      </c>
      <c r="J1091" s="49"/>
      <c r="K1091" s="50">
        <f t="shared" si="335"/>
        <v>0</v>
      </c>
      <c r="L1091" s="50"/>
      <c r="M1091" s="48"/>
      <c r="N1091" s="48">
        <f t="shared" si="336"/>
        <v>0</v>
      </c>
      <c r="O1091" s="48">
        <f t="shared" si="337"/>
        <v>0</v>
      </c>
      <c r="P1091" s="48">
        <f t="shared" si="338"/>
        <v>0</v>
      </c>
      <c r="Q1091" s="48">
        <f t="shared" si="339"/>
        <v>0</v>
      </c>
      <c r="R1091" s="41">
        <f t="shared" si="340"/>
        <v>0</v>
      </c>
      <c r="S1091" s="9"/>
    </row>
    <row r="1092" spans="2:19" x14ac:dyDescent="0.2">
      <c r="B1092" s="61" t="str">
        <f>IF(F1092&lt;&gt;"",1+MAX($B$21:B1091),"")</f>
        <v/>
      </c>
      <c r="C1092" s="196"/>
      <c r="D1092" s="210" t="s">
        <v>912</v>
      </c>
      <c r="E1092" s="14"/>
      <c r="F1092" s="137"/>
      <c r="G1092" s="48"/>
      <c r="H1092" s="48">
        <f t="shared" si="333"/>
        <v>0</v>
      </c>
      <c r="I1092" s="48">
        <f t="shared" si="334"/>
        <v>0</v>
      </c>
      <c r="J1092" s="49"/>
      <c r="K1092" s="50">
        <f t="shared" si="335"/>
        <v>0</v>
      </c>
      <c r="L1092" s="50"/>
      <c r="M1092" s="48"/>
      <c r="N1092" s="48">
        <f t="shared" si="336"/>
        <v>0</v>
      </c>
      <c r="O1092" s="48">
        <f t="shared" si="337"/>
        <v>0</v>
      </c>
      <c r="P1092" s="48">
        <f t="shared" si="338"/>
        <v>0</v>
      </c>
      <c r="Q1092" s="48">
        <f t="shared" si="339"/>
        <v>0</v>
      </c>
      <c r="R1092" s="41">
        <f t="shared" si="340"/>
        <v>0</v>
      </c>
      <c r="S1092" s="9"/>
    </row>
    <row r="1093" spans="2:19" x14ac:dyDescent="0.2">
      <c r="B1093" s="61">
        <f>IF(F1093&lt;&gt;"",1+MAX($B$21:B1092),"")</f>
        <v>664</v>
      </c>
      <c r="C1093" s="196"/>
      <c r="D1093" s="209" t="s">
        <v>926</v>
      </c>
      <c r="E1093" s="14" t="s">
        <v>73</v>
      </c>
      <c r="F1093" s="19">
        <f>2*36.22*1/27</f>
        <v>2.682962962962963</v>
      </c>
      <c r="G1093" s="48"/>
      <c r="H1093" s="48">
        <f t="shared" si="333"/>
        <v>0</v>
      </c>
      <c r="I1093" s="48">
        <f t="shared" si="334"/>
        <v>0</v>
      </c>
      <c r="J1093" s="49"/>
      <c r="K1093" s="50">
        <f t="shared" si="335"/>
        <v>0</v>
      </c>
      <c r="L1093" s="50"/>
      <c r="M1093" s="48"/>
      <c r="N1093" s="48">
        <f t="shared" si="336"/>
        <v>0</v>
      </c>
      <c r="O1093" s="48">
        <f t="shared" si="337"/>
        <v>0</v>
      </c>
      <c r="P1093" s="48">
        <f t="shared" si="338"/>
        <v>0</v>
      </c>
      <c r="Q1093" s="48">
        <f t="shared" si="339"/>
        <v>0</v>
      </c>
      <c r="R1093" s="41">
        <f t="shared" si="340"/>
        <v>0</v>
      </c>
      <c r="S1093" s="9"/>
    </row>
    <row r="1094" spans="2:19" x14ac:dyDescent="0.2">
      <c r="B1094" s="61">
        <f>IF(F1094&lt;&gt;"",1+MAX($B$21:B1093),"")</f>
        <v>665</v>
      </c>
      <c r="C1094" s="196"/>
      <c r="D1094" s="211" t="s">
        <v>914</v>
      </c>
      <c r="E1094" s="14" t="s">
        <v>73</v>
      </c>
      <c r="F1094" s="19">
        <f>4*36.22*2.33/27</f>
        <v>12.502607407407409</v>
      </c>
      <c r="G1094" s="27"/>
      <c r="H1094" s="27">
        <f t="shared" si="333"/>
        <v>0</v>
      </c>
      <c r="I1094" s="27">
        <f t="shared" si="334"/>
        <v>0</v>
      </c>
      <c r="J1094" s="11">
        <v>1.698</v>
      </c>
      <c r="K1094" s="7">
        <f t="shared" si="335"/>
        <v>21.229427377777778</v>
      </c>
      <c r="L1094" s="28" t="s">
        <v>1045</v>
      </c>
      <c r="M1094" s="29">
        <v>42.1</v>
      </c>
      <c r="N1094" s="48">
        <f t="shared" si="336"/>
        <v>30.775100000000002</v>
      </c>
      <c r="O1094" s="48">
        <f t="shared" si="337"/>
        <v>52.2561198</v>
      </c>
      <c r="P1094" s="48">
        <f t="shared" si="338"/>
        <v>653.33775049384894</v>
      </c>
      <c r="Q1094" s="48">
        <f t="shared" si="339"/>
        <v>653.33775049384894</v>
      </c>
      <c r="R1094" s="41">
        <f t="shared" si="340"/>
        <v>932.31296995472246</v>
      </c>
      <c r="S1094" s="9"/>
    </row>
    <row r="1095" spans="2:19" x14ac:dyDescent="0.2">
      <c r="B1095" s="61">
        <f>IF(F1095&lt;&gt;"",1+MAX($B$21:B1094),"")</f>
        <v>666</v>
      </c>
      <c r="C1095" s="196"/>
      <c r="D1095" s="211" t="s">
        <v>927</v>
      </c>
      <c r="E1095" s="14" t="s">
        <v>73</v>
      </c>
      <c r="F1095" s="19">
        <f>F1094-F1093-1.16</f>
        <v>8.6596444444444458</v>
      </c>
      <c r="G1095" s="27"/>
      <c r="H1095" s="27">
        <f t="shared" si="333"/>
        <v>0</v>
      </c>
      <c r="I1095" s="27">
        <f t="shared" si="334"/>
        <v>0</v>
      </c>
      <c r="J1095" s="11">
        <v>0.90300000000000002</v>
      </c>
      <c r="K1095" s="7">
        <f t="shared" si="335"/>
        <v>7.8196589333333346</v>
      </c>
      <c r="L1095" s="28" t="s">
        <v>1045</v>
      </c>
      <c r="M1095" s="29">
        <v>42.1</v>
      </c>
      <c r="N1095" s="48">
        <f t="shared" si="336"/>
        <v>30.775100000000002</v>
      </c>
      <c r="O1095" s="48">
        <f t="shared" si="337"/>
        <v>27.789915300000004</v>
      </c>
      <c r="P1095" s="48">
        <f t="shared" si="338"/>
        <v>240.65078563922674</v>
      </c>
      <c r="Q1095" s="48">
        <f t="shared" si="339"/>
        <v>240.65078563922674</v>
      </c>
      <c r="R1095" s="41">
        <f t="shared" si="340"/>
        <v>343.40867110717659</v>
      </c>
      <c r="S1095" s="9"/>
    </row>
    <row r="1096" spans="2:19" x14ac:dyDescent="0.2">
      <c r="B1096" s="61">
        <f>IF(F1096&lt;&gt;"",1+MAX($B$21:B1095),"")</f>
        <v>667</v>
      </c>
      <c r="C1096" s="196"/>
      <c r="D1096" s="211" t="s">
        <v>915</v>
      </c>
      <c r="E1096" s="14" t="s">
        <v>73</v>
      </c>
      <c r="F1096" s="19">
        <f>F1094-F1095</f>
        <v>3.8429629629629627</v>
      </c>
      <c r="G1096" s="27"/>
      <c r="H1096" s="27">
        <f t="shared" si="333"/>
        <v>0</v>
      </c>
      <c r="I1096" s="27">
        <f t="shared" si="334"/>
        <v>0</v>
      </c>
      <c r="J1096" s="11">
        <v>0.42499999999999999</v>
      </c>
      <c r="K1096" s="7">
        <f t="shared" si="335"/>
        <v>1.6332592592592592</v>
      </c>
      <c r="L1096" s="28" t="s">
        <v>1045</v>
      </c>
      <c r="M1096" s="29">
        <v>42.1</v>
      </c>
      <c r="N1096" s="48">
        <f t="shared" si="336"/>
        <v>30.775100000000002</v>
      </c>
      <c r="O1096" s="48">
        <f t="shared" si="337"/>
        <v>13.0794175</v>
      </c>
      <c r="P1096" s="48">
        <f t="shared" si="338"/>
        <v>50.263717029629625</v>
      </c>
      <c r="Q1096" s="48">
        <f t="shared" si="339"/>
        <v>50.263717029629625</v>
      </c>
      <c r="R1096" s="41">
        <f t="shared" si="340"/>
        <v>71.726324201281486</v>
      </c>
      <c r="S1096" s="9"/>
    </row>
    <row r="1097" spans="2:19" x14ac:dyDescent="0.2">
      <c r="B1097" s="61" t="str">
        <f>IF(F1097&lt;&gt;"",1+MAX($B$21:B1096),"")</f>
        <v/>
      </c>
      <c r="C1097" s="196"/>
      <c r="D1097" s="211"/>
      <c r="E1097" s="14"/>
      <c r="F1097" s="19"/>
      <c r="G1097" s="48"/>
      <c r="H1097" s="48">
        <f t="shared" si="333"/>
        <v>0</v>
      </c>
      <c r="I1097" s="48">
        <f t="shared" si="334"/>
        <v>0</v>
      </c>
      <c r="J1097" s="49"/>
      <c r="K1097" s="50">
        <f t="shared" si="335"/>
        <v>0</v>
      </c>
      <c r="L1097" s="50"/>
      <c r="M1097" s="48"/>
      <c r="N1097" s="48">
        <f t="shared" si="336"/>
        <v>0</v>
      </c>
      <c r="O1097" s="48">
        <f t="shared" si="337"/>
        <v>0</v>
      </c>
      <c r="P1097" s="48">
        <f t="shared" si="338"/>
        <v>0</v>
      </c>
      <c r="Q1097" s="48">
        <f t="shared" si="339"/>
        <v>0</v>
      </c>
      <c r="R1097" s="41">
        <f t="shared" si="340"/>
        <v>0</v>
      </c>
      <c r="S1097" s="9"/>
    </row>
    <row r="1098" spans="2:19" x14ac:dyDescent="0.2">
      <c r="B1098" s="61" t="str">
        <f>IF(F1098&lt;&gt;"",1+MAX($B$21:B1097),"")</f>
        <v/>
      </c>
      <c r="C1098" s="196"/>
      <c r="D1098" s="210" t="s">
        <v>928</v>
      </c>
      <c r="E1098" s="14"/>
      <c r="F1098" s="19"/>
      <c r="G1098" s="48"/>
      <c r="H1098" s="48">
        <f t="shared" ref="H1098:H1164" si="358">G1098*$T$2</f>
        <v>0</v>
      </c>
      <c r="I1098" s="48">
        <f t="shared" ref="I1098:I1161" si="359">F1098*H1098</f>
        <v>0</v>
      </c>
      <c r="J1098" s="49"/>
      <c r="K1098" s="50">
        <f t="shared" ref="K1098:K1161" si="360">F1098*J1098</f>
        <v>0</v>
      </c>
      <c r="L1098" s="50"/>
      <c r="M1098" s="48"/>
      <c r="N1098" s="48">
        <f t="shared" ref="N1098:N1164" si="361">M1098*$U$2</f>
        <v>0</v>
      </c>
      <c r="O1098" s="48">
        <f t="shared" ref="O1098:O1161" si="362">J1098*N1098</f>
        <v>0</v>
      </c>
      <c r="P1098" s="48">
        <f t="shared" ref="P1098:P1161" si="363">F1098*O1098</f>
        <v>0</v>
      </c>
      <c r="Q1098" s="48">
        <f t="shared" ref="Q1098:Q1161" si="364">I1098+P1098</f>
        <v>0</v>
      </c>
      <c r="R1098" s="41">
        <f t="shared" ref="R1098:R1161" si="365">Q1098+(I1098*$Q$7)+(P1098*$Q$8)+(Q1098*$Q$9)+(Q1098*$Q$11)+($Q$10*(Q1098+(I1098*$Q$7)+(P1098*$Q$8)+(Q1098*$Q$9)))</f>
        <v>0</v>
      </c>
      <c r="S1098" s="9"/>
    </row>
    <row r="1099" spans="2:19" x14ac:dyDescent="0.2">
      <c r="B1099" s="61">
        <f>IF(F1099&lt;&gt;"",1+MAX($B$21:B1098),"")</f>
        <v>668</v>
      </c>
      <c r="C1099" s="196"/>
      <c r="D1099" s="209" t="s">
        <v>929</v>
      </c>
      <c r="E1099" s="14" t="s">
        <v>72</v>
      </c>
      <c r="F1099" s="19">
        <f>36.22*8</f>
        <v>289.76</v>
      </c>
      <c r="G1099" s="12">
        <v>4.54</v>
      </c>
      <c r="H1099" s="12">
        <f t="shared" si="358"/>
        <v>4.3220799999999997</v>
      </c>
      <c r="I1099" s="12">
        <f t="shared" si="359"/>
        <v>1252.3659008</v>
      </c>
      <c r="J1099" s="11">
        <v>0.2</v>
      </c>
      <c r="K1099" s="7">
        <f t="shared" si="360"/>
        <v>57.951999999999998</v>
      </c>
      <c r="L1099" s="28" t="s">
        <v>1053</v>
      </c>
      <c r="M1099" s="29">
        <v>46.9</v>
      </c>
      <c r="N1099" s="48">
        <f t="shared" si="361"/>
        <v>34.283899999999996</v>
      </c>
      <c r="O1099" s="48">
        <f t="shared" si="362"/>
        <v>6.8567799999999997</v>
      </c>
      <c r="P1099" s="48">
        <f t="shared" si="363"/>
        <v>1986.8205727999998</v>
      </c>
      <c r="Q1099" s="48">
        <f t="shared" si="364"/>
        <v>3239.1864735999998</v>
      </c>
      <c r="R1099" s="41">
        <f t="shared" si="365"/>
        <v>4583.9967012627194</v>
      </c>
      <c r="S1099" s="9"/>
    </row>
    <row r="1100" spans="2:19" x14ac:dyDescent="0.2">
      <c r="B1100" s="61">
        <f>IF(F1100&lt;&gt;"",1+MAX($B$21:B1099),"")</f>
        <v>669</v>
      </c>
      <c r="C1100" s="196"/>
      <c r="D1100" s="211" t="s">
        <v>930</v>
      </c>
      <c r="E1100" s="14" t="s">
        <v>73</v>
      </c>
      <c r="F1100" s="23">
        <f>(F1099/100)*1.12</f>
        <v>3.2453120000000002</v>
      </c>
      <c r="G1100" s="12">
        <v>144.44999999999999</v>
      </c>
      <c r="H1100" s="12">
        <f t="shared" si="358"/>
        <v>137.51639999999998</v>
      </c>
      <c r="I1100" s="12">
        <f t="shared" si="359"/>
        <v>446.28362311679996</v>
      </c>
      <c r="J1100" s="11">
        <v>2.194</v>
      </c>
      <c r="K1100" s="7">
        <f t="shared" si="360"/>
        <v>7.120214528</v>
      </c>
      <c r="L1100" s="28" t="s">
        <v>1093</v>
      </c>
      <c r="M1100" s="29">
        <v>53.03</v>
      </c>
      <c r="N1100" s="48">
        <f t="shared" si="361"/>
        <v>38.76493</v>
      </c>
      <c r="O1100" s="48">
        <f t="shared" si="362"/>
        <v>85.050256419999997</v>
      </c>
      <c r="P1100" s="48">
        <f t="shared" si="363"/>
        <v>276.01461776290307</v>
      </c>
      <c r="Q1100" s="48">
        <f t="shared" si="364"/>
        <v>722.29824087970303</v>
      </c>
      <c r="R1100" s="41">
        <f t="shared" si="365"/>
        <v>1017.0633108679621</v>
      </c>
      <c r="S1100" s="9"/>
    </row>
    <row r="1101" spans="2:19" x14ac:dyDescent="0.2">
      <c r="B1101" s="61">
        <f>IF(F1101&lt;&gt;"",1+MAX($B$21:B1100),"")</f>
        <v>670</v>
      </c>
      <c r="C1101" s="196"/>
      <c r="D1101" s="211" t="s">
        <v>931</v>
      </c>
      <c r="E1101" s="14" t="s">
        <v>73</v>
      </c>
      <c r="F1101" s="23">
        <f>((F1099*0.67)*0.25)/27</f>
        <v>1.7975851851851854</v>
      </c>
      <c r="G1101" s="12">
        <v>167.4</v>
      </c>
      <c r="H1101" s="12">
        <f t="shared" si="358"/>
        <v>159.3648</v>
      </c>
      <c r="I1101" s="12">
        <f t="shared" si="359"/>
        <v>286.47180352000004</v>
      </c>
      <c r="J1101" s="11">
        <v>1.1910000000000001</v>
      </c>
      <c r="K1101" s="7">
        <f t="shared" si="360"/>
        <v>2.1409239555555559</v>
      </c>
      <c r="L1101" s="28" t="s">
        <v>1093</v>
      </c>
      <c r="M1101" s="29">
        <v>53.03</v>
      </c>
      <c r="N1101" s="48">
        <f t="shared" si="361"/>
        <v>38.76493</v>
      </c>
      <c r="O1101" s="48">
        <f t="shared" si="362"/>
        <v>46.169031629999999</v>
      </c>
      <c r="P1101" s="48">
        <f t="shared" si="363"/>
        <v>82.992767272434236</v>
      </c>
      <c r="Q1101" s="48">
        <f t="shared" si="364"/>
        <v>369.4645707924343</v>
      </c>
      <c r="R1101" s="41">
        <f t="shared" si="365"/>
        <v>518.45990533309168</v>
      </c>
      <c r="S1101" s="9"/>
    </row>
    <row r="1102" spans="2:19" x14ac:dyDescent="0.2">
      <c r="B1102" s="61" t="str">
        <f>IF(F1102&lt;&gt;"",1+MAX($B$21:B1101),"")</f>
        <v/>
      </c>
      <c r="C1102" s="196"/>
      <c r="D1102" s="209"/>
      <c r="E1102" s="14"/>
      <c r="F1102" s="19"/>
      <c r="G1102" s="48"/>
      <c r="H1102" s="48">
        <f t="shared" si="358"/>
        <v>0</v>
      </c>
      <c r="I1102" s="48">
        <f t="shared" si="359"/>
        <v>0</v>
      </c>
      <c r="J1102" s="49"/>
      <c r="K1102" s="50">
        <f t="shared" si="360"/>
        <v>0</v>
      </c>
      <c r="L1102" s="50"/>
      <c r="M1102" s="48"/>
      <c r="N1102" s="48">
        <f t="shared" si="361"/>
        <v>0</v>
      </c>
      <c r="O1102" s="48">
        <f t="shared" si="362"/>
        <v>0</v>
      </c>
      <c r="P1102" s="48">
        <f t="shared" si="363"/>
        <v>0</v>
      </c>
      <c r="Q1102" s="48">
        <f t="shared" si="364"/>
        <v>0</v>
      </c>
      <c r="R1102" s="41">
        <f t="shared" si="365"/>
        <v>0</v>
      </c>
      <c r="S1102" s="9"/>
    </row>
    <row r="1103" spans="2:19" x14ac:dyDescent="0.2">
      <c r="B1103" s="61" t="str">
        <f>IF(F1103&lt;&gt;"",1+MAX($B$21:B1102),"")</f>
        <v/>
      </c>
      <c r="C1103" s="196"/>
      <c r="D1103" s="210" t="s">
        <v>932</v>
      </c>
      <c r="E1103" s="14"/>
      <c r="F1103" s="19"/>
      <c r="G1103" s="48"/>
      <c r="H1103" s="48">
        <f t="shared" si="358"/>
        <v>0</v>
      </c>
      <c r="I1103" s="48">
        <f t="shared" si="359"/>
        <v>0</v>
      </c>
      <c r="J1103" s="49"/>
      <c r="K1103" s="50">
        <f t="shared" si="360"/>
        <v>0</v>
      </c>
      <c r="L1103" s="50"/>
      <c r="M1103" s="48"/>
      <c r="N1103" s="48">
        <f t="shared" si="361"/>
        <v>0</v>
      </c>
      <c r="O1103" s="48">
        <f t="shared" si="362"/>
        <v>0</v>
      </c>
      <c r="P1103" s="48">
        <f t="shared" si="363"/>
        <v>0</v>
      </c>
      <c r="Q1103" s="48">
        <f t="shared" si="364"/>
        <v>0</v>
      </c>
      <c r="R1103" s="41">
        <f t="shared" si="365"/>
        <v>0</v>
      </c>
      <c r="S1103" s="9"/>
    </row>
    <row r="1104" spans="2:19" x14ac:dyDescent="0.2">
      <c r="B1104" s="61">
        <f>IF(F1104&lt;&gt;"",1+MAX($B$21:B1103),"")</f>
        <v>671</v>
      </c>
      <c r="C1104" s="196"/>
      <c r="D1104" s="209" t="s">
        <v>933</v>
      </c>
      <c r="E1104" s="14" t="s">
        <v>74</v>
      </c>
      <c r="F1104" s="19">
        <v>36</v>
      </c>
      <c r="G1104" s="12">
        <v>6.45</v>
      </c>
      <c r="H1104" s="12">
        <f t="shared" si="358"/>
        <v>6.1403999999999996</v>
      </c>
      <c r="I1104" s="12">
        <f t="shared" si="359"/>
        <v>221.05439999999999</v>
      </c>
      <c r="J1104" s="11">
        <v>0.17699999999999999</v>
      </c>
      <c r="K1104" s="7">
        <f t="shared" si="360"/>
        <v>6.3719999999999999</v>
      </c>
      <c r="L1104" s="28" t="s">
        <v>1054</v>
      </c>
      <c r="M1104" s="29">
        <v>47.93</v>
      </c>
      <c r="N1104" s="48">
        <f t="shared" si="361"/>
        <v>35.036830000000002</v>
      </c>
      <c r="O1104" s="48">
        <f t="shared" si="362"/>
        <v>6.2015189099999999</v>
      </c>
      <c r="P1104" s="48">
        <f t="shared" si="363"/>
        <v>223.25468075999999</v>
      </c>
      <c r="Q1104" s="48">
        <f t="shared" si="364"/>
        <v>444.30908075999997</v>
      </c>
      <c r="R1104" s="41">
        <f t="shared" si="365"/>
        <v>627.26479360452004</v>
      </c>
      <c r="S1104" s="9"/>
    </row>
    <row r="1105" spans="2:19" x14ac:dyDescent="0.2">
      <c r="B1105" s="61" t="str">
        <f>IF(F1105&lt;&gt;"",1+MAX($B$21:B1104),"")</f>
        <v/>
      </c>
      <c r="C1105" s="196"/>
      <c r="D1105" s="209"/>
      <c r="E1105" s="14"/>
      <c r="F1105" s="19"/>
      <c r="G1105" s="48"/>
      <c r="H1105" s="48">
        <f t="shared" si="358"/>
        <v>0</v>
      </c>
      <c r="I1105" s="48">
        <f t="shared" si="359"/>
        <v>0</v>
      </c>
      <c r="J1105" s="49"/>
      <c r="K1105" s="50">
        <f t="shared" si="360"/>
        <v>0</v>
      </c>
      <c r="L1105" s="50"/>
      <c r="M1105" s="48"/>
      <c r="N1105" s="48">
        <f t="shared" si="361"/>
        <v>0</v>
      </c>
      <c r="O1105" s="48">
        <f t="shared" si="362"/>
        <v>0</v>
      </c>
      <c r="P1105" s="48">
        <f t="shared" si="363"/>
        <v>0</v>
      </c>
      <c r="Q1105" s="48">
        <f t="shared" si="364"/>
        <v>0</v>
      </c>
      <c r="R1105" s="41">
        <f t="shared" si="365"/>
        <v>0</v>
      </c>
      <c r="S1105" s="9"/>
    </row>
    <row r="1106" spans="2:19" x14ac:dyDescent="0.2">
      <c r="B1106" s="61" t="str">
        <f>IF(F1106&lt;&gt;"",1+MAX($B$21:B1105),"")</f>
        <v/>
      </c>
      <c r="C1106" s="196"/>
      <c r="D1106" s="210" t="s">
        <v>934</v>
      </c>
      <c r="E1106" s="14"/>
      <c r="F1106" s="19"/>
      <c r="G1106" s="48"/>
      <c r="H1106" s="48">
        <f t="shared" si="358"/>
        <v>0</v>
      </c>
      <c r="I1106" s="48">
        <f t="shared" si="359"/>
        <v>0</v>
      </c>
      <c r="J1106" s="49"/>
      <c r="K1106" s="50">
        <f t="shared" si="360"/>
        <v>0</v>
      </c>
      <c r="L1106" s="50"/>
      <c r="M1106" s="48"/>
      <c r="N1106" s="48">
        <f t="shared" si="361"/>
        <v>0</v>
      </c>
      <c r="O1106" s="48">
        <f t="shared" si="362"/>
        <v>0</v>
      </c>
      <c r="P1106" s="48">
        <f t="shared" si="363"/>
        <v>0</v>
      </c>
      <c r="Q1106" s="48">
        <f t="shared" si="364"/>
        <v>0</v>
      </c>
      <c r="R1106" s="41">
        <f t="shared" si="365"/>
        <v>0</v>
      </c>
      <c r="S1106" s="9"/>
    </row>
    <row r="1107" spans="2:19" x14ac:dyDescent="0.2">
      <c r="B1107" s="61">
        <f>IF(F1107&lt;&gt;"",1+MAX($B$21:B1106),"")</f>
        <v>672</v>
      </c>
      <c r="C1107" s="196"/>
      <c r="D1107" s="209" t="s">
        <v>935</v>
      </c>
      <c r="E1107" s="14" t="s">
        <v>74</v>
      </c>
      <c r="F1107" s="19">
        <v>36</v>
      </c>
      <c r="G1107" s="12">
        <v>34</v>
      </c>
      <c r="H1107" s="12">
        <f t="shared" si="358"/>
        <v>32.367999999999995</v>
      </c>
      <c r="I1107" s="12">
        <f t="shared" si="359"/>
        <v>1165.2479999999998</v>
      </c>
      <c r="J1107" s="11">
        <v>0.26700000000000002</v>
      </c>
      <c r="K1107" s="7">
        <f t="shared" si="360"/>
        <v>9.6120000000000001</v>
      </c>
      <c r="L1107" s="28" t="s">
        <v>1064</v>
      </c>
      <c r="M1107" s="29">
        <v>46.9</v>
      </c>
      <c r="N1107" s="48">
        <f t="shared" si="361"/>
        <v>34.283899999999996</v>
      </c>
      <c r="O1107" s="48">
        <f t="shared" si="362"/>
        <v>9.1538012999999996</v>
      </c>
      <c r="P1107" s="48">
        <f t="shared" si="363"/>
        <v>329.53684679999998</v>
      </c>
      <c r="Q1107" s="48">
        <f t="shared" si="364"/>
        <v>1494.7848467999997</v>
      </c>
      <c r="R1107" s="41">
        <f t="shared" si="365"/>
        <v>2097.4013875835999</v>
      </c>
      <c r="S1107" s="9"/>
    </row>
    <row r="1108" spans="2:19" x14ac:dyDescent="0.2">
      <c r="B1108" s="61" t="str">
        <f>IF(F1108&lt;&gt;"",1+MAX($B$21:B1107),"")</f>
        <v/>
      </c>
      <c r="C1108" s="196"/>
      <c r="D1108" s="209"/>
      <c r="E1108" s="14"/>
      <c r="F1108" s="19"/>
      <c r="G1108" s="48"/>
      <c r="H1108" s="48">
        <f t="shared" si="358"/>
        <v>0</v>
      </c>
      <c r="I1108" s="48">
        <f t="shared" si="359"/>
        <v>0</v>
      </c>
      <c r="J1108" s="49"/>
      <c r="K1108" s="50">
        <f t="shared" si="360"/>
        <v>0</v>
      </c>
      <c r="L1108" s="50"/>
      <c r="M1108" s="48"/>
      <c r="N1108" s="48">
        <f t="shared" si="361"/>
        <v>0</v>
      </c>
      <c r="O1108" s="48">
        <f t="shared" si="362"/>
        <v>0</v>
      </c>
      <c r="P1108" s="48">
        <f t="shared" si="363"/>
        <v>0</v>
      </c>
      <c r="Q1108" s="48">
        <f t="shared" si="364"/>
        <v>0</v>
      </c>
      <c r="R1108" s="41">
        <f t="shared" si="365"/>
        <v>0</v>
      </c>
      <c r="S1108" s="9"/>
    </row>
    <row r="1109" spans="2:19" x14ac:dyDescent="0.2">
      <c r="B1109" s="61" t="str">
        <f>IF(F1109&lt;&gt;"",1+MAX($B$21:B1108),"")</f>
        <v/>
      </c>
      <c r="C1109" s="196"/>
      <c r="D1109" s="210" t="s">
        <v>936</v>
      </c>
      <c r="E1109" s="14"/>
      <c r="F1109" s="19"/>
      <c r="G1109" s="48"/>
      <c r="H1109" s="48">
        <f t="shared" si="358"/>
        <v>0</v>
      </c>
      <c r="I1109" s="48">
        <f t="shared" si="359"/>
        <v>0</v>
      </c>
      <c r="J1109" s="49"/>
      <c r="K1109" s="50">
        <f t="shared" si="360"/>
        <v>0</v>
      </c>
      <c r="L1109" s="50"/>
      <c r="M1109" s="48"/>
      <c r="N1109" s="48">
        <f t="shared" si="361"/>
        <v>0</v>
      </c>
      <c r="O1109" s="48">
        <f t="shared" si="362"/>
        <v>0</v>
      </c>
      <c r="P1109" s="48">
        <f t="shared" si="363"/>
        <v>0</v>
      </c>
      <c r="Q1109" s="48">
        <f t="shared" si="364"/>
        <v>0</v>
      </c>
      <c r="R1109" s="41">
        <f t="shared" si="365"/>
        <v>0</v>
      </c>
      <c r="S1109" s="9"/>
    </row>
    <row r="1110" spans="2:19" ht="51" x14ac:dyDescent="0.2">
      <c r="B1110" s="61">
        <f>IF(F1110&lt;&gt;"",1+MAX($B$21:B1109),"")</f>
        <v>673</v>
      </c>
      <c r="C1110" s="196"/>
      <c r="D1110" s="209" t="s">
        <v>937</v>
      </c>
      <c r="E1110" s="14" t="s">
        <v>72</v>
      </c>
      <c r="F1110" s="19">
        <f>36.22*6.67</f>
        <v>241.5874</v>
      </c>
      <c r="G1110" s="12">
        <v>1.34</v>
      </c>
      <c r="H1110" s="12">
        <f t="shared" si="358"/>
        <v>1.2756799999999999</v>
      </c>
      <c r="I1110" s="12">
        <f t="shared" si="359"/>
        <v>308.188214432</v>
      </c>
      <c r="J1110" s="11">
        <v>0.126</v>
      </c>
      <c r="K1110" s="7">
        <f t="shared" si="360"/>
        <v>30.440012400000001</v>
      </c>
      <c r="L1110" s="28" t="s">
        <v>1065</v>
      </c>
      <c r="M1110" s="29">
        <v>49.05</v>
      </c>
      <c r="N1110" s="48">
        <f t="shared" si="361"/>
        <v>35.855549999999994</v>
      </c>
      <c r="O1110" s="48">
        <f t="shared" si="362"/>
        <v>4.5177992999999992</v>
      </c>
      <c r="P1110" s="48">
        <f t="shared" si="363"/>
        <v>1091.4433866088198</v>
      </c>
      <c r="Q1110" s="48">
        <f t="shared" si="364"/>
        <v>1399.6316010408198</v>
      </c>
      <c r="R1110" s="41">
        <f t="shared" si="365"/>
        <v>1987.8437353236304</v>
      </c>
      <c r="S1110" s="9"/>
    </row>
    <row r="1111" spans="2:19" x14ac:dyDescent="0.2">
      <c r="B1111" s="61" t="str">
        <f>IF(F1111&lt;&gt;"",1+MAX($B$21:B1110),"")</f>
        <v/>
      </c>
      <c r="C1111" s="196"/>
      <c r="D1111" s="209"/>
      <c r="E1111" s="14"/>
      <c r="F1111" s="19"/>
      <c r="G1111" s="48"/>
      <c r="H1111" s="48">
        <f t="shared" si="358"/>
        <v>0</v>
      </c>
      <c r="I1111" s="48">
        <f t="shared" si="359"/>
        <v>0</v>
      </c>
      <c r="J1111" s="49"/>
      <c r="K1111" s="50">
        <f t="shared" si="360"/>
        <v>0</v>
      </c>
      <c r="L1111" s="50"/>
      <c r="M1111" s="48"/>
      <c r="N1111" s="48">
        <f t="shared" si="361"/>
        <v>0</v>
      </c>
      <c r="O1111" s="48">
        <f t="shared" si="362"/>
        <v>0</v>
      </c>
      <c r="P1111" s="48">
        <f t="shared" si="363"/>
        <v>0</v>
      </c>
      <c r="Q1111" s="48">
        <f t="shared" si="364"/>
        <v>0</v>
      </c>
      <c r="R1111" s="41">
        <f t="shared" si="365"/>
        <v>0</v>
      </c>
      <c r="S1111" s="9"/>
    </row>
    <row r="1112" spans="2:19" x14ac:dyDescent="0.2">
      <c r="B1112" s="61" t="str">
        <f>IF(F1112&lt;&gt;"",1+MAX($B$21:B1111),"")</f>
        <v/>
      </c>
      <c r="C1112" s="196"/>
      <c r="D1112" s="210" t="s">
        <v>938</v>
      </c>
      <c r="E1112" s="14"/>
      <c r="F1112" s="19"/>
      <c r="G1112" s="48"/>
      <c r="H1112" s="48">
        <f t="shared" si="358"/>
        <v>0</v>
      </c>
      <c r="I1112" s="48">
        <f t="shared" si="359"/>
        <v>0</v>
      </c>
      <c r="J1112" s="49"/>
      <c r="K1112" s="50">
        <f t="shared" si="360"/>
        <v>0</v>
      </c>
      <c r="L1112" s="50"/>
      <c r="M1112" s="48"/>
      <c r="N1112" s="48">
        <f t="shared" si="361"/>
        <v>0</v>
      </c>
      <c r="O1112" s="48">
        <f t="shared" si="362"/>
        <v>0</v>
      </c>
      <c r="P1112" s="48">
        <f t="shared" si="363"/>
        <v>0</v>
      </c>
      <c r="Q1112" s="48">
        <f t="shared" si="364"/>
        <v>0</v>
      </c>
      <c r="R1112" s="41">
        <f t="shared" si="365"/>
        <v>0</v>
      </c>
      <c r="S1112" s="9"/>
    </row>
    <row r="1113" spans="2:19" ht="25.5" x14ac:dyDescent="0.2">
      <c r="B1113" s="61">
        <f>IF(F1113&lt;&gt;"",1+MAX($B$21:B1112),"")</f>
        <v>674</v>
      </c>
      <c r="C1113" s="196"/>
      <c r="D1113" s="209" t="s">
        <v>939</v>
      </c>
      <c r="E1113" s="14" t="s">
        <v>79</v>
      </c>
      <c r="F1113" s="19">
        <v>5</v>
      </c>
      <c r="G1113" s="48">
        <v>470</v>
      </c>
      <c r="H1113" s="48">
        <f t="shared" si="358"/>
        <v>447.44</v>
      </c>
      <c r="I1113" s="48">
        <f t="shared" si="359"/>
        <v>2237.1999999999998</v>
      </c>
      <c r="J1113" s="11">
        <v>3.258</v>
      </c>
      <c r="K1113" s="7">
        <f t="shared" si="360"/>
        <v>16.29</v>
      </c>
      <c r="L1113" s="28" t="s">
        <v>1092</v>
      </c>
      <c r="M1113" s="29">
        <v>54.64</v>
      </c>
      <c r="N1113" s="48">
        <f t="shared" si="361"/>
        <v>39.941839999999999</v>
      </c>
      <c r="O1113" s="48">
        <f t="shared" si="362"/>
        <v>130.13051472000001</v>
      </c>
      <c r="P1113" s="48">
        <f t="shared" si="363"/>
        <v>650.6525736000001</v>
      </c>
      <c r="Q1113" s="48">
        <f t="shared" si="364"/>
        <v>2887.8525736000001</v>
      </c>
      <c r="R1113" s="41">
        <f t="shared" si="365"/>
        <v>4052.5073025272</v>
      </c>
      <c r="S1113" s="9"/>
    </row>
    <row r="1114" spans="2:19" x14ac:dyDescent="0.2">
      <c r="B1114" s="61" t="str">
        <f>IF(F1114&lt;&gt;"",1+MAX($B$21:B1113),"")</f>
        <v/>
      </c>
      <c r="C1114" s="196"/>
      <c r="D1114" s="209"/>
      <c r="E1114" s="14"/>
      <c r="F1114" s="19"/>
      <c r="G1114" s="48"/>
      <c r="H1114" s="48">
        <f t="shared" si="358"/>
        <v>0</v>
      </c>
      <c r="I1114" s="48">
        <f t="shared" si="359"/>
        <v>0</v>
      </c>
      <c r="J1114" s="49"/>
      <c r="K1114" s="50">
        <f t="shared" si="360"/>
        <v>0</v>
      </c>
      <c r="L1114" s="50"/>
      <c r="M1114" s="48"/>
      <c r="N1114" s="48">
        <f t="shared" si="361"/>
        <v>0</v>
      </c>
      <c r="O1114" s="48">
        <f t="shared" si="362"/>
        <v>0</v>
      </c>
      <c r="P1114" s="48">
        <f t="shared" si="363"/>
        <v>0</v>
      </c>
      <c r="Q1114" s="48">
        <f t="shared" si="364"/>
        <v>0</v>
      </c>
      <c r="R1114" s="41">
        <f t="shared" si="365"/>
        <v>0</v>
      </c>
      <c r="S1114" s="9"/>
    </row>
    <row r="1115" spans="2:19" ht="25.5" x14ac:dyDescent="0.2">
      <c r="B1115" s="61">
        <f>IF(F1115&lt;&gt;"",1+MAX($B$21:B1114),"")</f>
        <v>675</v>
      </c>
      <c r="C1115" s="196"/>
      <c r="D1115" s="209" t="s">
        <v>940</v>
      </c>
      <c r="E1115" s="14" t="s">
        <v>73</v>
      </c>
      <c r="F1115" s="137">
        <f>1.39*3*5/27</f>
        <v>0.77222222222222225</v>
      </c>
      <c r="G1115" s="12">
        <v>304.22000000000003</v>
      </c>
      <c r="H1115" s="12">
        <f t="shared" si="358"/>
        <v>289.61743999999999</v>
      </c>
      <c r="I1115" s="12">
        <f t="shared" si="359"/>
        <v>223.64902311111112</v>
      </c>
      <c r="J1115" s="11">
        <v>6.415</v>
      </c>
      <c r="K1115" s="7">
        <f t="shared" si="360"/>
        <v>4.9538055555555554</v>
      </c>
      <c r="L1115" s="28" t="s">
        <v>1050</v>
      </c>
      <c r="M1115" s="29">
        <v>52.21</v>
      </c>
      <c r="N1115" s="48">
        <f t="shared" si="361"/>
        <v>38.165509999999998</v>
      </c>
      <c r="O1115" s="48">
        <f t="shared" si="362"/>
        <v>244.83174664999999</v>
      </c>
      <c r="P1115" s="48">
        <f t="shared" si="363"/>
        <v>189.06451546861112</v>
      </c>
      <c r="Q1115" s="48">
        <f t="shared" si="364"/>
        <v>412.71353857972224</v>
      </c>
      <c r="R1115" s="41">
        <f t="shared" si="365"/>
        <v>582.09855944606363</v>
      </c>
      <c r="S1115" s="9"/>
    </row>
    <row r="1116" spans="2:19" x14ac:dyDescent="0.2">
      <c r="B1116" s="61">
        <f>IF(F1116&lt;&gt;"",1+MAX($B$21:B1115),"")</f>
        <v>676</v>
      </c>
      <c r="C1116" s="196"/>
      <c r="D1116" s="211" t="s">
        <v>914</v>
      </c>
      <c r="E1116" s="14" t="s">
        <v>73</v>
      </c>
      <c r="F1116" s="137">
        <f t="shared" ref="F1116:F1117" si="366">1.39*3*5/27</f>
        <v>0.77222222222222225</v>
      </c>
      <c r="G1116" s="27"/>
      <c r="H1116" s="27">
        <f t="shared" si="358"/>
        <v>0</v>
      </c>
      <c r="I1116" s="27">
        <f t="shared" si="359"/>
        <v>0</v>
      </c>
      <c r="J1116" s="11">
        <v>1.698</v>
      </c>
      <c r="K1116" s="7">
        <f t="shared" si="360"/>
        <v>1.3112333333333333</v>
      </c>
      <c r="L1116" s="28" t="s">
        <v>1045</v>
      </c>
      <c r="M1116" s="29">
        <v>42.1</v>
      </c>
      <c r="N1116" s="48">
        <f t="shared" si="361"/>
        <v>30.775100000000002</v>
      </c>
      <c r="O1116" s="48">
        <f t="shared" si="362"/>
        <v>52.2561198</v>
      </c>
      <c r="P1116" s="48">
        <f t="shared" si="363"/>
        <v>40.353336956666666</v>
      </c>
      <c r="Q1116" s="48">
        <f t="shared" si="364"/>
        <v>40.353336956666666</v>
      </c>
      <c r="R1116" s="41">
        <f t="shared" si="365"/>
        <v>57.584211837163338</v>
      </c>
      <c r="S1116" s="9"/>
    </row>
    <row r="1117" spans="2:19" x14ac:dyDescent="0.2">
      <c r="B1117" s="61">
        <f>IF(F1117&lt;&gt;"",1+MAX($B$21:B1116),"")</f>
        <v>677</v>
      </c>
      <c r="C1117" s="196"/>
      <c r="D1117" s="211" t="s">
        <v>915</v>
      </c>
      <c r="E1117" s="14" t="s">
        <v>73</v>
      </c>
      <c r="F1117" s="137">
        <f t="shared" si="366"/>
        <v>0.77222222222222225</v>
      </c>
      <c r="G1117" s="27"/>
      <c r="H1117" s="27">
        <f t="shared" si="358"/>
        <v>0</v>
      </c>
      <c r="I1117" s="27">
        <f t="shared" si="359"/>
        <v>0</v>
      </c>
      <c r="J1117" s="11">
        <v>0.42499999999999999</v>
      </c>
      <c r="K1117" s="7">
        <f t="shared" si="360"/>
        <v>0.32819444444444446</v>
      </c>
      <c r="L1117" s="28" t="s">
        <v>1045</v>
      </c>
      <c r="M1117" s="29">
        <v>42.1</v>
      </c>
      <c r="N1117" s="48">
        <f t="shared" si="361"/>
        <v>30.775100000000002</v>
      </c>
      <c r="O1117" s="48">
        <f t="shared" si="362"/>
        <v>13.0794175</v>
      </c>
      <c r="P1117" s="48">
        <f t="shared" si="363"/>
        <v>10.100216847222223</v>
      </c>
      <c r="Q1117" s="48">
        <f t="shared" si="364"/>
        <v>10.100216847222223</v>
      </c>
      <c r="R1117" s="41">
        <f t="shared" si="365"/>
        <v>14.41300944098611</v>
      </c>
      <c r="S1117" s="9"/>
    </row>
    <row r="1118" spans="2:19" x14ac:dyDescent="0.2">
      <c r="B1118" s="61" t="str">
        <f>IF(F1118&lt;&gt;"",1+MAX($B$21:B1117),"")</f>
        <v/>
      </c>
      <c r="C1118" s="196"/>
      <c r="D1118" s="209"/>
      <c r="E1118" s="14"/>
      <c r="F1118" s="19"/>
      <c r="G1118" s="48"/>
      <c r="H1118" s="48">
        <f t="shared" si="358"/>
        <v>0</v>
      </c>
      <c r="I1118" s="48">
        <f t="shared" si="359"/>
        <v>0</v>
      </c>
      <c r="J1118" s="49"/>
      <c r="K1118" s="50">
        <f t="shared" si="360"/>
        <v>0</v>
      </c>
      <c r="L1118" s="50"/>
      <c r="M1118" s="48"/>
      <c r="N1118" s="48">
        <f t="shared" si="361"/>
        <v>0</v>
      </c>
      <c r="O1118" s="48">
        <f t="shared" si="362"/>
        <v>0</v>
      </c>
      <c r="P1118" s="48">
        <f t="shared" si="363"/>
        <v>0</v>
      </c>
      <c r="Q1118" s="48">
        <f t="shared" si="364"/>
        <v>0</v>
      </c>
      <c r="R1118" s="41">
        <f t="shared" si="365"/>
        <v>0</v>
      </c>
      <c r="S1118" s="9"/>
    </row>
    <row r="1119" spans="2:19" x14ac:dyDescent="0.2">
      <c r="B1119" s="61" t="str">
        <f>IF(F1119&lt;&gt;"",1+MAX($B$21:B1118),"")</f>
        <v/>
      </c>
      <c r="C1119" s="196"/>
      <c r="D1119" s="210" t="s">
        <v>941</v>
      </c>
      <c r="E1119" s="14"/>
      <c r="F1119" s="137"/>
      <c r="G1119" s="48"/>
      <c r="H1119" s="48">
        <f t="shared" si="358"/>
        <v>0</v>
      </c>
      <c r="I1119" s="48">
        <f t="shared" si="359"/>
        <v>0</v>
      </c>
      <c r="J1119" s="49"/>
      <c r="K1119" s="50">
        <f t="shared" si="360"/>
        <v>0</v>
      </c>
      <c r="L1119" s="50"/>
      <c r="M1119" s="48"/>
      <c r="N1119" s="48">
        <f t="shared" si="361"/>
        <v>0</v>
      </c>
      <c r="O1119" s="48">
        <f t="shared" si="362"/>
        <v>0</v>
      </c>
      <c r="P1119" s="48">
        <f t="shared" si="363"/>
        <v>0</v>
      </c>
      <c r="Q1119" s="48">
        <f t="shared" si="364"/>
        <v>0</v>
      </c>
      <c r="R1119" s="41">
        <f t="shared" si="365"/>
        <v>0</v>
      </c>
      <c r="S1119" s="9"/>
    </row>
    <row r="1120" spans="2:19" ht="102" x14ac:dyDescent="0.2">
      <c r="B1120" s="61">
        <f>IF(F1120&lt;&gt;"",1+MAX($B$21:B1119),"")</f>
        <v>678</v>
      </c>
      <c r="C1120" s="196"/>
      <c r="D1120" s="209" t="s">
        <v>942</v>
      </c>
      <c r="E1120" s="14" t="s">
        <v>79</v>
      </c>
      <c r="F1120" s="19">
        <v>1</v>
      </c>
      <c r="G1120" s="48">
        <v>3400</v>
      </c>
      <c r="H1120" s="48">
        <f t="shared" si="358"/>
        <v>3236.7999999999997</v>
      </c>
      <c r="I1120" s="48">
        <f t="shared" si="359"/>
        <v>3236.7999999999997</v>
      </c>
      <c r="J1120" s="49">
        <v>18</v>
      </c>
      <c r="K1120" s="50">
        <f t="shared" si="360"/>
        <v>18</v>
      </c>
      <c r="L1120" s="28" t="s">
        <v>1094</v>
      </c>
      <c r="M1120" s="29">
        <v>54.23</v>
      </c>
      <c r="N1120" s="48">
        <f t="shared" si="361"/>
        <v>39.642129999999995</v>
      </c>
      <c r="O1120" s="48">
        <f t="shared" si="362"/>
        <v>713.55833999999993</v>
      </c>
      <c r="P1120" s="48">
        <f t="shared" si="363"/>
        <v>713.55833999999993</v>
      </c>
      <c r="Q1120" s="48">
        <f t="shared" si="364"/>
        <v>3950.3583399999998</v>
      </c>
      <c r="R1120" s="41">
        <f t="shared" si="365"/>
        <v>5538.1152711799996</v>
      </c>
      <c r="S1120" s="9"/>
    </row>
    <row r="1121" spans="2:19" x14ac:dyDescent="0.2">
      <c r="B1121" s="61" t="str">
        <f>IF(F1121&lt;&gt;"",1+MAX($B$21:B1120),"")</f>
        <v/>
      </c>
      <c r="C1121" s="196"/>
      <c r="D1121" s="209"/>
      <c r="E1121" s="14"/>
      <c r="F1121" s="19"/>
      <c r="G1121" s="48"/>
      <c r="H1121" s="48">
        <f t="shared" si="358"/>
        <v>0</v>
      </c>
      <c r="I1121" s="48">
        <f t="shared" si="359"/>
        <v>0</v>
      </c>
      <c r="J1121" s="49"/>
      <c r="K1121" s="50">
        <f t="shared" si="360"/>
        <v>0</v>
      </c>
      <c r="L1121" s="50"/>
      <c r="M1121" s="48"/>
      <c r="N1121" s="48">
        <f t="shared" si="361"/>
        <v>0</v>
      </c>
      <c r="O1121" s="48">
        <f t="shared" si="362"/>
        <v>0</v>
      </c>
      <c r="P1121" s="48">
        <f t="shared" si="363"/>
        <v>0</v>
      </c>
      <c r="Q1121" s="48">
        <f t="shared" si="364"/>
        <v>0</v>
      </c>
      <c r="R1121" s="41">
        <f t="shared" si="365"/>
        <v>0</v>
      </c>
      <c r="S1121" s="9"/>
    </row>
    <row r="1122" spans="2:19" x14ac:dyDescent="0.2">
      <c r="B1122" s="61" t="str">
        <f>IF(F1122&lt;&gt;"",1+MAX($B$21:B1121),"")</f>
        <v/>
      </c>
      <c r="C1122" s="196"/>
      <c r="D1122" s="210" t="s">
        <v>140</v>
      </c>
      <c r="E1122" s="14"/>
      <c r="F1122" s="19"/>
      <c r="G1122" s="48"/>
      <c r="H1122" s="48">
        <f t="shared" si="358"/>
        <v>0</v>
      </c>
      <c r="I1122" s="48">
        <f t="shared" si="359"/>
        <v>0</v>
      </c>
      <c r="J1122" s="49"/>
      <c r="K1122" s="50">
        <f t="shared" si="360"/>
        <v>0</v>
      </c>
      <c r="L1122" s="50"/>
      <c r="M1122" s="48"/>
      <c r="N1122" s="48">
        <f t="shared" si="361"/>
        <v>0</v>
      </c>
      <c r="O1122" s="48">
        <f t="shared" si="362"/>
        <v>0</v>
      </c>
      <c r="P1122" s="48">
        <f t="shared" si="363"/>
        <v>0</v>
      </c>
      <c r="Q1122" s="48">
        <f t="shared" si="364"/>
        <v>0</v>
      </c>
      <c r="R1122" s="41">
        <f t="shared" si="365"/>
        <v>0</v>
      </c>
      <c r="S1122" s="9"/>
    </row>
    <row r="1123" spans="2:19" x14ac:dyDescent="0.2">
      <c r="B1123" s="61">
        <f>IF(F1123&lt;&gt;"",1+MAX($B$21:B1122),"")</f>
        <v>679</v>
      </c>
      <c r="C1123" s="196"/>
      <c r="D1123" s="209" t="s">
        <v>943</v>
      </c>
      <c r="E1123" s="14" t="s">
        <v>79</v>
      </c>
      <c r="F1123" s="19">
        <v>2</v>
      </c>
      <c r="G1123" s="48">
        <v>950</v>
      </c>
      <c r="H1123" s="48">
        <f t="shared" si="358"/>
        <v>904.4</v>
      </c>
      <c r="I1123" s="48">
        <f t="shared" si="359"/>
        <v>1808.8</v>
      </c>
      <c r="J1123" s="49">
        <v>1.5</v>
      </c>
      <c r="K1123" s="50">
        <f t="shared" si="360"/>
        <v>3</v>
      </c>
      <c r="L1123" s="50" t="s">
        <v>1073</v>
      </c>
      <c r="M1123" s="48">
        <v>42.1</v>
      </c>
      <c r="N1123" s="48">
        <f t="shared" si="361"/>
        <v>30.775100000000002</v>
      </c>
      <c r="O1123" s="48">
        <f t="shared" si="362"/>
        <v>46.162649999999999</v>
      </c>
      <c r="P1123" s="48">
        <f t="shared" si="363"/>
        <v>92.325299999999999</v>
      </c>
      <c r="Q1123" s="48">
        <f t="shared" si="364"/>
        <v>1901.1252999999999</v>
      </c>
      <c r="R1123" s="41">
        <f t="shared" si="365"/>
        <v>2657.5565231</v>
      </c>
      <c r="S1123" s="9"/>
    </row>
    <row r="1124" spans="2:19" x14ac:dyDescent="0.2">
      <c r="B1124" s="61">
        <f>IF(F1124&lt;&gt;"",1+MAX($B$21:B1123),"")</f>
        <v>680</v>
      </c>
      <c r="C1124" s="196"/>
      <c r="D1124" s="209" t="s">
        <v>944</v>
      </c>
      <c r="E1124" s="14" t="s">
        <v>74</v>
      </c>
      <c r="F1124" s="19">
        <v>36</v>
      </c>
      <c r="G1124" s="12">
        <v>1.45</v>
      </c>
      <c r="H1124" s="12">
        <f t="shared" si="358"/>
        <v>1.3803999999999998</v>
      </c>
      <c r="I1124" s="12">
        <f t="shared" si="359"/>
        <v>49.694399999999995</v>
      </c>
      <c r="J1124" s="11">
        <v>6.0999999999999999E-2</v>
      </c>
      <c r="K1124" s="7">
        <f t="shared" si="360"/>
        <v>2.1959999999999997</v>
      </c>
      <c r="L1124" s="28" t="s">
        <v>1062</v>
      </c>
      <c r="M1124" s="29">
        <v>46.2</v>
      </c>
      <c r="N1124" s="48">
        <f t="shared" si="361"/>
        <v>33.772199999999998</v>
      </c>
      <c r="O1124" s="48">
        <f t="shared" si="362"/>
        <v>2.0601042000000001</v>
      </c>
      <c r="P1124" s="48">
        <f t="shared" si="363"/>
        <v>74.163751200000007</v>
      </c>
      <c r="Q1124" s="48">
        <f t="shared" si="364"/>
        <v>123.85815120000001</v>
      </c>
      <c r="R1124" s="41">
        <f t="shared" si="365"/>
        <v>175.22493312240005</v>
      </c>
      <c r="S1124" s="9"/>
    </row>
    <row r="1125" spans="2:19" x14ac:dyDescent="0.2">
      <c r="B1125" s="61">
        <f>IF(F1125&lt;&gt;"",1+MAX($B$21:B1124),"")</f>
        <v>681</v>
      </c>
      <c r="C1125" s="196"/>
      <c r="D1125" s="209" t="s">
        <v>945</v>
      </c>
      <c r="E1125" s="14" t="s">
        <v>74</v>
      </c>
      <c r="F1125" s="19">
        <v>36</v>
      </c>
      <c r="G1125" s="12">
        <v>1.02</v>
      </c>
      <c r="H1125" s="12">
        <f t="shared" si="358"/>
        <v>0.97104000000000001</v>
      </c>
      <c r="I1125" s="12">
        <f t="shared" si="359"/>
        <v>34.957439999999998</v>
      </c>
      <c r="J1125" s="11">
        <v>6.0999999999999999E-2</v>
      </c>
      <c r="K1125" s="7">
        <f t="shared" si="360"/>
        <v>2.1959999999999997</v>
      </c>
      <c r="L1125" s="28" t="s">
        <v>1062</v>
      </c>
      <c r="M1125" s="29">
        <v>46.2</v>
      </c>
      <c r="N1125" s="48">
        <f t="shared" si="361"/>
        <v>33.772199999999998</v>
      </c>
      <c r="O1125" s="48">
        <f t="shared" si="362"/>
        <v>2.0601042000000001</v>
      </c>
      <c r="P1125" s="48">
        <f t="shared" si="363"/>
        <v>74.163751200000007</v>
      </c>
      <c r="Q1125" s="48">
        <f t="shared" si="364"/>
        <v>109.1211912</v>
      </c>
      <c r="R1125" s="41">
        <f t="shared" si="365"/>
        <v>154.64624217839997</v>
      </c>
      <c r="S1125" s="9"/>
    </row>
    <row r="1126" spans="2:19" x14ac:dyDescent="0.2">
      <c r="B1126" s="61">
        <f>IF(F1126&lt;&gt;"",1+MAX($B$21:B1125),"")</f>
        <v>682</v>
      </c>
      <c r="C1126" s="196"/>
      <c r="D1126" s="209" t="s">
        <v>946</v>
      </c>
      <c r="E1126" s="14" t="s">
        <v>74</v>
      </c>
      <c r="F1126" s="19">
        <v>36</v>
      </c>
      <c r="G1126" s="12">
        <v>0.65</v>
      </c>
      <c r="H1126" s="12">
        <f t="shared" si="358"/>
        <v>0.61880000000000002</v>
      </c>
      <c r="I1126" s="12">
        <f t="shared" si="359"/>
        <v>22.276800000000001</v>
      </c>
      <c r="J1126" s="11">
        <v>3.2000000000000001E-2</v>
      </c>
      <c r="K1126" s="7">
        <f t="shared" si="360"/>
        <v>1.1520000000000001</v>
      </c>
      <c r="L1126" s="28" t="s">
        <v>1061</v>
      </c>
      <c r="M1126" s="29">
        <v>52.05</v>
      </c>
      <c r="N1126" s="48">
        <f t="shared" si="361"/>
        <v>38.048549999999999</v>
      </c>
      <c r="O1126" s="48">
        <f t="shared" si="362"/>
        <v>1.2175536</v>
      </c>
      <c r="P1126" s="48">
        <f t="shared" si="363"/>
        <v>43.831929600000002</v>
      </c>
      <c r="Q1126" s="48">
        <f t="shared" si="364"/>
        <v>66.108729600000004</v>
      </c>
      <c r="R1126" s="41">
        <f t="shared" si="365"/>
        <v>93.655487059199999</v>
      </c>
      <c r="S1126" s="9"/>
    </row>
    <row r="1127" spans="2:19" x14ac:dyDescent="0.2">
      <c r="B1127" s="61">
        <f>IF(F1127&lt;&gt;"",1+MAX($B$21:B1126),"")</f>
        <v>683</v>
      </c>
      <c r="C1127" s="197"/>
      <c r="D1127" s="209" t="s">
        <v>947</v>
      </c>
      <c r="E1127" s="14" t="s">
        <v>74</v>
      </c>
      <c r="F1127" s="19">
        <f>36*0.33</f>
        <v>11.88</v>
      </c>
      <c r="G1127" s="48">
        <v>2.5</v>
      </c>
      <c r="H1127" s="48">
        <f t="shared" si="358"/>
        <v>2.38</v>
      </c>
      <c r="I1127" s="48">
        <f t="shared" si="359"/>
        <v>28.2744</v>
      </c>
      <c r="J1127" s="49">
        <v>0.08</v>
      </c>
      <c r="K1127" s="50">
        <f t="shared" si="360"/>
        <v>0.95040000000000013</v>
      </c>
      <c r="L1127" s="28" t="s">
        <v>1065</v>
      </c>
      <c r="M1127" s="29">
        <v>49.05</v>
      </c>
      <c r="N1127" s="48">
        <f t="shared" si="361"/>
        <v>35.855549999999994</v>
      </c>
      <c r="O1127" s="48">
        <f t="shared" si="362"/>
        <v>2.8684439999999998</v>
      </c>
      <c r="P1127" s="48">
        <f t="shared" si="363"/>
        <v>34.077114719999997</v>
      </c>
      <c r="Q1127" s="48">
        <f t="shared" si="364"/>
        <v>62.351514719999997</v>
      </c>
      <c r="R1127" s="41">
        <f t="shared" si="365"/>
        <v>88.110414865440006</v>
      </c>
      <c r="S1127" s="9"/>
    </row>
    <row r="1128" spans="2:19" x14ac:dyDescent="0.2">
      <c r="B1128" s="61" t="str">
        <f>IF(F1128&lt;&gt;"",1+MAX($B$21:B1127),"")</f>
        <v/>
      </c>
      <c r="C1128" s="67"/>
      <c r="D1128" s="73"/>
      <c r="E1128" s="14"/>
      <c r="F1128" s="19"/>
      <c r="G1128" s="48"/>
      <c r="H1128" s="48">
        <f t="shared" si="358"/>
        <v>0</v>
      </c>
      <c r="I1128" s="48">
        <f t="shared" si="359"/>
        <v>0</v>
      </c>
      <c r="J1128" s="49"/>
      <c r="K1128" s="50">
        <f t="shared" si="360"/>
        <v>0</v>
      </c>
      <c r="L1128" s="50"/>
      <c r="M1128" s="48"/>
      <c r="N1128" s="48">
        <f t="shared" si="361"/>
        <v>0</v>
      </c>
      <c r="O1128" s="48">
        <f t="shared" si="362"/>
        <v>0</v>
      </c>
      <c r="P1128" s="48">
        <f t="shared" si="363"/>
        <v>0</v>
      </c>
      <c r="Q1128" s="48">
        <f t="shared" si="364"/>
        <v>0</v>
      </c>
      <c r="R1128" s="41">
        <f t="shared" si="365"/>
        <v>0</v>
      </c>
      <c r="S1128" s="9"/>
    </row>
    <row r="1129" spans="2:19" x14ac:dyDescent="0.2">
      <c r="B1129" s="62" t="str">
        <f>IF(F1129&lt;&gt;"",1+MAX($B$21:B1128),"")</f>
        <v/>
      </c>
      <c r="C1129" s="68"/>
      <c r="D1129" s="74" t="s">
        <v>948</v>
      </c>
      <c r="E1129" s="14"/>
      <c r="F1129" s="19"/>
      <c r="G1129" s="48"/>
      <c r="H1129" s="48">
        <f t="shared" si="358"/>
        <v>0</v>
      </c>
      <c r="I1129" s="48">
        <f t="shared" si="359"/>
        <v>0</v>
      </c>
      <c r="J1129" s="49"/>
      <c r="K1129" s="50">
        <f t="shared" si="360"/>
        <v>0</v>
      </c>
      <c r="L1129" s="50"/>
      <c r="M1129" s="48"/>
      <c r="N1129" s="48">
        <f t="shared" si="361"/>
        <v>0</v>
      </c>
      <c r="O1129" s="48">
        <f t="shared" si="362"/>
        <v>0</v>
      </c>
      <c r="P1129" s="48">
        <f t="shared" si="363"/>
        <v>0</v>
      </c>
      <c r="Q1129" s="48">
        <f t="shared" si="364"/>
        <v>0</v>
      </c>
      <c r="R1129" s="41">
        <f t="shared" si="365"/>
        <v>0</v>
      </c>
    </row>
    <row r="1130" spans="2:19" x14ac:dyDescent="0.2">
      <c r="B1130" s="61" t="str">
        <f>IF(F1130&lt;&gt;"",1+MAX($B$21:B1129),"")</f>
        <v/>
      </c>
      <c r="C1130" s="67"/>
      <c r="D1130" s="73"/>
      <c r="E1130" s="14"/>
      <c r="F1130" s="19"/>
      <c r="G1130" s="48"/>
      <c r="H1130" s="48">
        <f t="shared" si="358"/>
        <v>0</v>
      </c>
      <c r="I1130" s="48">
        <f t="shared" si="359"/>
        <v>0</v>
      </c>
      <c r="J1130" s="49"/>
      <c r="K1130" s="50">
        <f t="shared" si="360"/>
        <v>0</v>
      </c>
      <c r="L1130" s="50"/>
      <c r="M1130" s="48"/>
      <c r="N1130" s="48">
        <f t="shared" si="361"/>
        <v>0</v>
      </c>
      <c r="O1130" s="48">
        <f t="shared" si="362"/>
        <v>0</v>
      </c>
      <c r="P1130" s="48">
        <f t="shared" si="363"/>
        <v>0</v>
      </c>
      <c r="Q1130" s="48">
        <f t="shared" si="364"/>
        <v>0</v>
      </c>
      <c r="R1130" s="41">
        <f t="shared" si="365"/>
        <v>0</v>
      </c>
      <c r="S1130" s="9"/>
    </row>
    <row r="1131" spans="2:19" x14ac:dyDescent="0.2">
      <c r="B1131" s="61" t="str">
        <f>IF(F1131&lt;&gt;"",1+MAX($B$21:B1130),"")</f>
        <v/>
      </c>
      <c r="C1131" s="67"/>
      <c r="D1131" s="142" t="s">
        <v>949</v>
      </c>
      <c r="E1131" s="14"/>
      <c r="F1131" s="19"/>
      <c r="G1131" s="48"/>
      <c r="H1131" s="48">
        <f t="shared" si="358"/>
        <v>0</v>
      </c>
      <c r="I1131" s="48">
        <f t="shared" si="359"/>
        <v>0</v>
      </c>
      <c r="J1131" s="49"/>
      <c r="K1131" s="50">
        <f t="shared" si="360"/>
        <v>0</v>
      </c>
      <c r="L1131" s="50"/>
      <c r="M1131" s="48"/>
      <c r="N1131" s="48">
        <f t="shared" si="361"/>
        <v>0</v>
      </c>
      <c r="O1131" s="48">
        <f t="shared" si="362"/>
        <v>0</v>
      </c>
      <c r="P1131" s="48">
        <f t="shared" si="363"/>
        <v>0</v>
      </c>
      <c r="Q1131" s="48">
        <f t="shared" si="364"/>
        <v>0</v>
      </c>
      <c r="R1131" s="41">
        <f t="shared" si="365"/>
        <v>0</v>
      </c>
      <c r="S1131" s="9"/>
    </row>
    <row r="1132" spans="2:19" x14ac:dyDescent="0.2">
      <c r="B1132" s="61" t="str">
        <f>IF(F1132&lt;&gt;"",1+MAX($B$21:B1131),"")</f>
        <v/>
      </c>
      <c r="C1132" s="67"/>
      <c r="D1132" s="73"/>
      <c r="E1132" s="14"/>
      <c r="F1132" s="19"/>
      <c r="G1132" s="48"/>
      <c r="H1132" s="48">
        <f t="shared" si="358"/>
        <v>0</v>
      </c>
      <c r="I1132" s="48">
        <f t="shared" si="359"/>
        <v>0</v>
      </c>
      <c r="J1132" s="49"/>
      <c r="K1132" s="50">
        <f t="shared" si="360"/>
        <v>0</v>
      </c>
      <c r="L1132" s="50"/>
      <c r="M1132" s="48"/>
      <c r="N1132" s="48">
        <f t="shared" si="361"/>
        <v>0</v>
      </c>
      <c r="O1132" s="48">
        <f t="shared" si="362"/>
        <v>0</v>
      </c>
      <c r="P1132" s="48">
        <f t="shared" si="363"/>
        <v>0</v>
      </c>
      <c r="Q1132" s="48">
        <f t="shared" si="364"/>
        <v>0</v>
      </c>
      <c r="R1132" s="41">
        <f t="shared" si="365"/>
        <v>0</v>
      </c>
      <c r="S1132" s="9"/>
    </row>
    <row r="1133" spans="2:19" x14ac:dyDescent="0.2">
      <c r="B1133" s="61" t="str">
        <f>IF(F1133&lt;&gt;"",1+MAX($B$21:B1132),"")</f>
        <v/>
      </c>
      <c r="C1133" s="67"/>
      <c r="D1133" s="75" t="s">
        <v>950</v>
      </c>
      <c r="E1133" s="14"/>
      <c r="F1133" s="19"/>
      <c r="G1133" s="48"/>
      <c r="H1133" s="48">
        <f t="shared" si="358"/>
        <v>0</v>
      </c>
      <c r="I1133" s="48">
        <f t="shared" si="359"/>
        <v>0</v>
      </c>
      <c r="J1133" s="49"/>
      <c r="K1133" s="50">
        <f t="shared" si="360"/>
        <v>0</v>
      </c>
      <c r="L1133" s="50"/>
      <c r="M1133" s="48"/>
      <c r="N1133" s="48">
        <f t="shared" si="361"/>
        <v>0</v>
      </c>
      <c r="O1133" s="48">
        <f t="shared" si="362"/>
        <v>0</v>
      </c>
      <c r="P1133" s="48">
        <f t="shared" si="363"/>
        <v>0</v>
      </c>
      <c r="Q1133" s="48">
        <f t="shared" si="364"/>
        <v>0</v>
      </c>
      <c r="R1133" s="41">
        <f t="shared" si="365"/>
        <v>0</v>
      </c>
      <c r="S1133" s="9"/>
    </row>
    <row r="1134" spans="2:19" ht="51" x14ac:dyDescent="0.2">
      <c r="B1134" s="61">
        <f>IF(F1134&lt;&gt;"",1+MAX($B$21:B1133),"")</f>
        <v>684</v>
      </c>
      <c r="C1134" s="198" t="s">
        <v>951</v>
      </c>
      <c r="D1134" s="73" t="s">
        <v>1095</v>
      </c>
      <c r="E1134" s="14" t="s">
        <v>72</v>
      </c>
      <c r="F1134" s="19">
        <v>1570</v>
      </c>
      <c r="G1134" s="12">
        <v>1.25</v>
      </c>
      <c r="H1134" s="12">
        <f t="shared" si="358"/>
        <v>1.19</v>
      </c>
      <c r="I1134" s="12">
        <f t="shared" si="359"/>
        <v>1868.3</v>
      </c>
      <c r="J1134" s="11">
        <v>4.2000000000000003E-2</v>
      </c>
      <c r="K1134" s="7">
        <f t="shared" si="360"/>
        <v>65.94</v>
      </c>
      <c r="L1134" s="28" t="s">
        <v>1089</v>
      </c>
      <c r="M1134" s="29">
        <v>48.4</v>
      </c>
      <c r="N1134" s="48">
        <f t="shared" si="361"/>
        <v>35.380400000000002</v>
      </c>
      <c r="O1134" s="48">
        <f t="shared" si="362"/>
        <v>1.4859768000000002</v>
      </c>
      <c r="P1134" s="48">
        <f t="shared" si="363"/>
        <v>2332.9835760000005</v>
      </c>
      <c r="Q1134" s="48">
        <f t="shared" si="364"/>
        <v>4201.2835760000007</v>
      </c>
      <c r="R1134" s="41">
        <f t="shared" si="365"/>
        <v>5938.0616829520013</v>
      </c>
      <c r="S1134" s="9"/>
    </row>
    <row r="1135" spans="2:19" x14ac:dyDescent="0.2">
      <c r="B1135" s="61" t="str">
        <f>IF(F1135&lt;&gt;"",1+MAX($B$21:B1134),"")</f>
        <v/>
      </c>
      <c r="C1135" s="196"/>
      <c r="D1135" s="73"/>
      <c r="E1135" s="14"/>
      <c r="F1135" s="19"/>
      <c r="G1135" s="48"/>
      <c r="H1135" s="48">
        <f t="shared" si="358"/>
        <v>0</v>
      </c>
      <c r="I1135" s="48">
        <f t="shared" si="359"/>
        <v>0</v>
      </c>
      <c r="J1135" s="49"/>
      <c r="K1135" s="50">
        <f t="shared" si="360"/>
        <v>0</v>
      </c>
      <c r="L1135" s="50"/>
      <c r="M1135" s="48"/>
      <c r="N1135" s="48">
        <f t="shared" si="361"/>
        <v>0</v>
      </c>
      <c r="O1135" s="48">
        <f t="shared" si="362"/>
        <v>0</v>
      </c>
      <c r="P1135" s="48">
        <f t="shared" si="363"/>
        <v>0</v>
      </c>
      <c r="Q1135" s="48">
        <f t="shared" si="364"/>
        <v>0</v>
      </c>
      <c r="R1135" s="41">
        <f t="shared" si="365"/>
        <v>0</v>
      </c>
      <c r="S1135" s="9"/>
    </row>
    <row r="1136" spans="2:19" x14ac:dyDescent="0.2">
      <c r="B1136" s="61" t="str">
        <f>IF(F1136&lt;&gt;"",1+MAX($B$21:B1135),"")</f>
        <v/>
      </c>
      <c r="C1136" s="196"/>
      <c r="D1136" s="75" t="s">
        <v>952</v>
      </c>
      <c r="E1136" s="14"/>
      <c r="F1136" s="19"/>
      <c r="G1136" s="48"/>
      <c r="H1136" s="48">
        <f t="shared" si="358"/>
        <v>0</v>
      </c>
      <c r="I1136" s="48">
        <f t="shared" si="359"/>
        <v>0</v>
      </c>
      <c r="J1136" s="49"/>
      <c r="K1136" s="50">
        <f t="shared" si="360"/>
        <v>0</v>
      </c>
      <c r="L1136" s="50"/>
      <c r="M1136" s="48"/>
      <c r="N1136" s="48">
        <f t="shared" si="361"/>
        <v>0</v>
      </c>
      <c r="O1136" s="48">
        <f t="shared" si="362"/>
        <v>0</v>
      </c>
      <c r="P1136" s="48">
        <f t="shared" si="363"/>
        <v>0</v>
      </c>
      <c r="Q1136" s="48">
        <f t="shared" si="364"/>
        <v>0</v>
      </c>
      <c r="R1136" s="41">
        <f t="shared" si="365"/>
        <v>0</v>
      </c>
      <c r="S1136" s="9"/>
    </row>
    <row r="1137" spans="2:19" ht="25.5" x14ac:dyDescent="0.2">
      <c r="B1137" s="61">
        <f>IF(F1137&lt;&gt;"",1+MAX($B$21:B1136),"")</f>
        <v>685</v>
      </c>
      <c r="C1137" s="196"/>
      <c r="D1137" s="73" t="s">
        <v>953</v>
      </c>
      <c r="E1137" s="14" t="s">
        <v>79</v>
      </c>
      <c r="F1137" s="19">
        <v>1</v>
      </c>
      <c r="G1137" s="48">
        <v>180</v>
      </c>
      <c r="H1137" s="48">
        <f t="shared" si="358"/>
        <v>171.35999999999999</v>
      </c>
      <c r="I1137" s="48">
        <f t="shared" si="359"/>
        <v>171.35999999999999</v>
      </c>
      <c r="J1137" s="49">
        <v>2</v>
      </c>
      <c r="K1137" s="50">
        <f t="shared" si="360"/>
        <v>2</v>
      </c>
      <c r="L1137" s="50" t="s">
        <v>1096</v>
      </c>
      <c r="M1137" s="48">
        <v>42.77</v>
      </c>
      <c r="N1137" s="48">
        <f t="shared" si="361"/>
        <v>31.264870000000002</v>
      </c>
      <c r="O1137" s="48">
        <f t="shared" si="362"/>
        <v>62.529740000000004</v>
      </c>
      <c r="P1137" s="48">
        <f t="shared" si="363"/>
        <v>62.529740000000004</v>
      </c>
      <c r="Q1137" s="48">
        <f t="shared" si="364"/>
        <v>233.88973999999999</v>
      </c>
      <c r="R1137" s="41">
        <f t="shared" si="365"/>
        <v>328.51704297999999</v>
      </c>
      <c r="S1137" s="9"/>
    </row>
    <row r="1138" spans="2:19" x14ac:dyDescent="0.2">
      <c r="B1138" s="61" t="str">
        <f>IF(F1138&lt;&gt;"",1+MAX($B$21:B1137),"")</f>
        <v/>
      </c>
      <c r="C1138" s="196"/>
      <c r="D1138" s="73"/>
      <c r="E1138" s="14"/>
      <c r="F1138" s="19"/>
      <c r="G1138" s="48"/>
      <c r="H1138" s="48">
        <f t="shared" si="358"/>
        <v>0</v>
      </c>
      <c r="I1138" s="48">
        <f t="shared" si="359"/>
        <v>0</v>
      </c>
      <c r="J1138" s="49"/>
      <c r="K1138" s="50">
        <f t="shared" si="360"/>
        <v>0</v>
      </c>
      <c r="L1138" s="50"/>
      <c r="M1138" s="48"/>
      <c r="N1138" s="48">
        <f t="shared" si="361"/>
        <v>0</v>
      </c>
      <c r="O1138" s="48">
        <f t="shared" si="362"/>
        <v>0</v>
      </c>
      <c r="P1138" s="48">
        <f t="shared" si="363"/>
        <v>0</v>
      </c>
      <c r="Q1138" s="48">
        <f t="shared" si="364"/>
        <v>0</v>
      </c>
      <c r="R1138" s="41">
        <f t="shared" si="365"/>
        <v>0</v>
      </c>
      <c r="S1138" s="9"/>
    </row>
    <row r="1139" spans="2:19" x14ac:dyDescent="0.2">
      <c r="B1139" s="61" t="str">
        <f>IF(F1139&lt;&gt;"",1+MAX($B$21:B1138),"")</f>
        <v/>
      </c>
      <c r="C1139" s="196"/>
      <c r="D1139" s="75" t="s">
        <v>954</v>
      </c>
      <c r="E1139" s="14"/>
      <c r="F1139" s="19"/>
      <c r="G1139" s="48"/>
      <c r="H1139" s="48">
        <f t="shared" si="358"/>
        <v>0</v>
      </c>
      <c r="I1139" s="48">
        <f t="shared" si="359"/>
        <v>0</v>
      </c>
      <c r="J1139" s="49"/>
      <c r="K1139" s="50">
        <f t="shared" si="360"/>
        <v>0</v>
      </c>
      <c r="L1139" s="50"/>
      <c r="M1139" s="48"/>
      <c r="N1139" s="48">
        <f t="shared" si="361"/>
        <v>0</v>
      </c>
      <c r="O1139" s="48">
        <f t="shared" si="362"/>
        <v>0</v>
      </c>
      <c r="P1139" s="48">
        <f t="shared" si="363"/>
        <v>0</v>
      </c>
      <c r="Q1139" s="48">
        <f t="shared" si="364"/>
        <v>0</v>
      </c>
      <c r="R1139" s="41">
        <f t="shared" si="365"/>
        <v>0</v>
      </c>
      <c r="S1139" s="9"/>
    </row>
    <row r="1140" spans="2:19" x14ac:dyDescent="0.2">
      <c r="B1140" s="61">
        <f>IF(F1140&lt;&gt;"",1+MAX($B$21:B1139),"")</f>
        <v>686</v>
      </c>
      <c r="C1140" s="196"/>
      <c r="D1140" s="73" t="s">
        <v>955</v>
      </c>
      <c r="E1140" s="14" t="s">
        <v>72</v>
      </c>
      <c r="F1140" s="19">
        <v>25</v>
      </c>
      <c r="G1140" s="48">
        <v>7</v>
      </c>
      <c r="H1140" s="48">
        <f t="shared" si="358"/>
        <v>6.6639999999999997</v>
      </c>
      <c r="I1140" s="48">
        <f t="shared" si="359"/>
        <v>166.6</v>
      </c>
      <c r="J1140" s="49">
        <v>0.04</v>
      </c>
      <c r="K1140" s="50">
        <f t="shared" si="360"/>
        <v>1</v>
      </c>
      <c r="L1140" s="50" t="s">
        <v>1096</v>
      </c>
      <c r="M1140" s="48">
        <v>42.77</v>
      </c>
      <c r="N1140" s="48">
        <f t="shared" si="361"/>
        <v>31.264870000000002</v>
      </c>
      <c r="O1140" s="48">
        <f t="shared" si="362"/>
        <v>1.2505948</v>
      </c>
      <c r="P1140" s="48">
        <f t="shared" si="363"/>
        <v>31.264870000000002</v>
      </c>
      <c r="Q1140" s="48">
        <f t="shared" si="364"/>
        <v>197.86487</v>
      </c>
      <c r="R1140" s="41">
        <f t="shared" si="365"/>
        <v>277.25520948999997</v>
      </c>
      <c r="S1140" s="9"/>
    </row>
    <row r="1141" spans="2:19" x14ac:dyDescent="0.2">
      <c r="B1141" s="61" t="str">
        <f>IF(F1141&lt;&gt;"",1+MAX($B$21:B1140),"")</f>
        <v/>
      </c>
      <c r="C1141" s="196"/>
      <c r="D1141" s="73"/>
      <c r="E1141" s="14"/>
      <c r="F1141" s="19"/>
      <c r="G1141" s="48"/>
      <c r="H1141" s="48">
        <f t="shared" si="358"/>
        <v>0</v>
      </c>
      <c r="I1141" s="48">
        <f t="shared" si="359"/>
        <v>0</v>
      </c>
      <c r="J1141" s="49"/>
      <c r="K1141" s="50">
        <f t="shared" si="360"/>
        <v>0</v>
      </c>
      <c r="L1141" s="50"/>
      <c r="M1141" s="48"/>
      <c r="N1141" s="48">
        <f t="shared" si="361"/>
        <v>0</v>
      </c>
      <c r="O1141" s="48">
        <f t="shared" si="362"/>
        <v>0</v>
      </c>
      <c r="P1141" s="48">
        <f t="shared" si="363"/>
        <v>0</v>
      </c>
      <c r="Q1141" s="48">
        <f t="shared" si="364"/>
        <v>0</v>
      </c>
      <c r="R1141" s="41">
        <f t="shared" si="365"/>
        <v>0</v>
      </c>
      <c r="S1141" s="9"/>
    </row>
    <row r="1142" spans="2:19" x14ac:dyDescent="0.2">
      <c r="B1142" s="61" t="str">
        <f>IF(F1142&lt;&gt;"",1+MAX($B$21:B1141),"")</f>
        <v/>
      </c>
      <c r="C1142" s="196"/>
      <c r="D1142" s="75" t="s">
        <v>956</v>
      </c>
      <c r="E1142" s="14"/>
      <c r="F1142" s="19"/>
      <c r="G1142" s="48"/>
      <c r="H1142" s="48">
        <f t="shared" si="358"/>
        <v>0</v>
      </c>
      <c r="I1142" s="48">
        <f t="shared" si="359"/>
        <v>0</v>
      </c>
      <c r="J1142" s="49"/>
      <c r="K1142" s="50">
        <f t="shared" si="360"/>
        <v>0</v>
      </c>
      <c r="L1142" s="50"/>
      <c r="M1142" s="48"/>
      <c r="N1142" s="48">
        <f t="shared" si="361"/>
        <v>0</v>
      </c>
      <c r="O1142" s="48">
        <f t="shared" si="362"/>
        <v>0</v>
      </c>
      <c r="P1142" s="48">
        <f t="shared" si="363"/>
        <v>0</v>
      </c>
      <c r="Q1142" s="48">
        <f t="shared" si="364"/>
        <v>0</v>
      </c>
      <c r="R1142" s="41">
        <f t="shared" si="365"/>
        <v>0</v>
      </c>
      <c r="S1142" s="9"/>
    </row>
    <row r="1143" spans="2:19" ht="38.25" x14ac:dyDescent="0.2">
      <c r="B1143" s="61">
        <f>IF(F1143&lt;&gt;"",1+MAX($B$21:B1142),"")</f>
        <v>687</v>
      </c>
      <c r="C1143" s="196"/>
      <c r="D1143" s="73" t="s">
        <v>957</v>
      </c>
      <c r="E1143" s="14" t="s">
        <v>74</v>
      </c>
      <c r="F1143" s="19">
        <v>768</v>
      </c>
      <c r="G1143" s="48">
        <v>2.38</v>
      </c>
      <c r="H1143" s="48">
        <f t="shared" si="358"/>
        <v>2.2657599999999998</v>
      </c>
      <c r="I1143" s="48">
        <f t="shared" si="359"/>
        <v>1740.1036799999997</v>
      </c>
      <c r="J1143" s="49">
        <v>3.2000000000000001E-2</v>
      </c>
      <c r="K1143" s="50">
        <f t="shared" si="360"/>
        <v>24.576000000000001</v>
      </c>
      <c r="L1143" s="50" t="s">
        <v>1096</v>
      </c>
      <c r="M1143" s="48">
        <v>42.77</v>
      </c>
      <c r="N1143" s="48">
        <f t="shared" si="361"/>
        <v>31.264870000000002</v>
      </c>
      <c r="O1143" s="48">
        <f t="shared" si="362"/>
        <v>1.00047584</v>
      </c>
      <c r="P1143" s="48">
        <f t="shared" si="363"/>
        <v>768.36544512</v>
      </c>
      <c r="Q1143" s="48">
        <f t="shared" si="364"/>
        <v>2508.4691251199997</v>
      </c>
      <c r="R1143" s="41">
        <f t="shared" si="365"/>
        <v>3526.3382689382397</v>
      </c>
      <c r="S1143" s="9"/>
    </row>
    <row r="1144" spans="2:19" x14ac:dyDescent="0.2">
      <c r="B1144" s="61" t="str">
        <f>IF(F1144&lt;&gt;"",1+MAX($B$21:B1143),"")</f>
        <v/>
      </c>
      <c r="C1144" s="196"/>
      <c r="D1144" s="73"/>
      <c r="E1144" s="14"/>
      <c r="F1144" s="19"/>
      <c r="G1144" s="48"/>
      <c r="H1144" s="48">
        <f t="shared" si="358"/>
        <v>0</v>
      </c>
      <c r="I1144" s="48">
        <f t="shared" si="359"/>
        <v>0</v>
      </c>
      <c r="J1144" s="49"/>
      <c r="K1144" s="50">
        <f t="shared" si="360"/>
        <v>0</v>
      </c>
      <c r="L1144" s="50"/>
      <c r="M1144" s="48"/>
      <c r="N1144" s="48">
        <f t="shared" si="361"/>
        <v>0</v>
      </c>
      <c r="O1144" s="48">
        <f t="shared" si="362"/>
        <v>0</v>
      </c>
      <c r="P1144" s="48">
        <f t="shared" si="363"/>
        <v>0</v>
      </c>
      <c r="Q1144" s="48">
        <f t="shared" si="364"/>
        <v>0</v>
      </c>
      <c r="R1144" s="41">
        <f t="shared" si="365"/>
        <v>0</v>
      </c>
      <c r="S1144" s="9"/>
    </row>
    <row r="1145" spans="2:19" x14ac:dyDescent="0.2">
      <c r="B1145" s="61" t="str">
        <f>IF(F1145&lt;&gt;"",1+MAX($B$21:B1144),"")</f>
        <v/>
      </c>
      <c r="C1145" s="196"/>
      <c r="D1145" s="75" t="s">
        <v>958</v>
      </c>
      <c r="E1145" s="14"/>
      <c r="F1145" s="19"/>
      <c r="G1145" s="48"/>
      <c r="H1145" s="48">
        <f t="shared" si="358"/>
        <v>0</v>
      </c>
      <c r="I1145" s="48">
        <f t="shared" si="359"/>
        <v>0</v>
      </c>
      <c r="J1145" s="49"/>
      <c r="K1145" s="50">
        <f t="shared" si="360"/>
        <v>0</v>
      </c>
      <c r="L1145" s="50"/>
      <c r="M1145" s="48"/>
      <c r="N1145" s="48">
        <f t="shared" si="361"/>
        <v>0</v>
      </c>
      <c r="O1145" s="48">
        <f t="shared" si="362"/>
        <v>0</v>
      </c>
      <c r="P1145" s="48">
        <f t="shared" si="363"/>
        <v>0</v>
      </c>
      <c r="Q1145" s="48">
        <f t="shared" si="364"/>
        <v>0</v>
      </c>
      <c r="R1145" s="41">
        <f t="shared" si="365"/>
        <v>0</v>
      </c>
      <c r="S1145" s="9"/>
    </row>
    <row r="1146" spans="2:19" x14ac:dyDescent="0.2">
      <c r="B1146" s="61">
        <f>IF(F1146&lt;&gt;"",1+MAX($B$21:B1145),"")</f>
        <v>688</v>
      </c>
      <c r="C1146" s="196"/>
      <c r="D1146" s="73" t="s">
        <v>959</v>
      </c>
      <c r="E1146" s="14" t="s">
        <v>74</v>
      </c>
      <c r="F1146" s="19">
        <v>5.14</v>
      </c>
      <c r="G1146" s="48">
        <v>38</v>
      </c>
      <c r="H1146" s="48">
        <f t="shared" si="358"/>
        <v>36.176000000000002</v>
      </c>
      <c r="I1146" s="48">
        <f t="shared" si="359"/>
        <v>185.94463999999999</v>
      </c>
      <c r="J1146" s="49">
        <v>0.5</v>
      </c>
      <c r="K1146" s="50">
        <f t="shared" si="360"/>
        <v>2.57</v>
      </c>
      <c r="L1146" s="50" t="s">
        <v>1096</v>
      </c>
      <c r="M1146" s="48">
        <v>42.77</v>
      </c>
      <c r="N1146" s="48">
        <f t="shared" si="361"/>
        <v>31.264870000000002</v>
      </c>
      <c r="O1146" s="48">
        <f t="shared" si="362"/>
        <v>15.632435000000001</v>
      </c>
      <c r="P1146" s="48">
        <f t="shared" si="363"/>
        <v>80.350715899999997</v>
      </c>
      <c r="Q1146" s="48">
        <f t="shared" si="364"/>
        <v>266.2953559</v>
      </c>
      <c r="R1146" s="41">
        <f t="shared" si="365"/>
        <v>374.31356688530002</v>
      </c>
      <c r="S1146" s="9"/>
    </row>
    <row r="1147" spans="2:19" x14ac:dyDescent="0.2">
      <c r="B1147" s="61" t="str">
        <f>IF(F1147&lt;&gt;"",1+MAX($B$21:B1146),"")</f>
        <v/>
      </c>
      <c r="C1147" s="196"/>
      <c r="D1147" s="73"/>
      <c r="E1147" s="14"/>
      <c r="F1147" s="19"/>
      <c r="G1147" s="48"/>
      <c r="H1147" s="48">
        <f t="shared" si="358"/>
        <v>0</v>
      </c>
      <c r="I1147" s="48">
        <f t="shared" si="359"/>
        <v>0</v>
      </c>
      <c r="J1147" s="49"/>
      <c r="K1147" s="50">
        <f t="shared" si="360"/>
        <v>0</v>
      </c>
      <c r="L1147" s="50"/>
      <c r="M1147" s="48"/>
      <c r="N1147" s="48">
        <f t="shared" si="361"/>
        <v>0</v>
      </c>
      <c r="O1147" s="48">
        <f t="shared" si="362"/>
        <v>0</v>
      </c>
      <c r="P1147" s="48">
        <f t="shared" si="363"/>
        <v>0</v>
      </c>
      <c r="Q1147" s="48">
        <f t="shared" si="364"/>
        <v>0</v>
      </c>
      <c r="R1147" s="41">
        <f t="shared" si="365"/>
        <v>0</v>
      </c>
      <c r="S1147" s="9"/>
    </row>
    <row r="1148" spans="2:19" x14ac:dyDescent="0.2">
      <c r="B1148" s="61" t="str">
        <f>IF(F1148&lt;&gt;"",1+MAX($B$21:B1147),"")</f>
        <v/>
      </c>
      <c r="C1148" s="196"/>
      <c r="D1148" s="75" t="s">
        <v>960</v>
      </c>
      <c r="E1148" s="14"/>
      <c r="F1148" s="19"/>
      <c r="G1148" s="48"/>
      <c r="H1148" s="48">
        <f t="shared" si="358"/>
        <v>0</v>
      </c>
      <c r="I1148" s="48">
        <f t="shared" si="359"/>
        <v>0</v>
      </c>
      <c r="J1148" s="49"/>
      <c r="K1148" s="50">
        <f t="shared" si="360"/>
        <v>0</v>
      </c>
      <c r="L1148" s="50"/>
      <c r="M1148" s="48"/>
      <c r="N1148" s="48">
        <f t="shared" si="361"/>
        <v>0</v>
      </c>
      <c r="O1148" s="48">
        <f t="shared" si="362"/>
        <v>0</v>
      </c>
      <c r="P1148" s="48">
        <f t="shared" si="363"/>
        <v>0</v>
      </c>
      <c r="Q1148" s="48">
        <f t="shared" si="364"/>
        <v>0</v>
      </c>
      <c r="R1148" s="41">
        <f t="shared" si="365"/>
        <v>0</v>
      </c>
      <c r="S1148" s="9"/>
    </row>
    <row r="1149" spans="2:19" ht="25.5" x14ac:dyDescent="0.2">
      <c r="B1149" s="61">
        <f>IF(F1149&lt;&gt;"",1+MAX($B$21:B1148),"")</f>
        <v>689</v>
      </c>
      <c r="C1149" s="196"/>
      <c r="D1149" s="73" t="s">
        <v>961</v>
      </c>
      <c r="E1149" s="14" t="s">
        <v>72</v>
      </c>
      <c r="F1149" s="19">
        <v>20298.88</v>
      </c>
      <c r="G1149" s="48">
        <v>0.4</v>
      </c>
      <c r="H1149" s="48">
        <f t="shared" si="358"/>
        <v>0.38080000000000003</v>
      </c>
      <c r="I1149" s="48">
        <f t="shared" si="359"/>
        <v>7729.8135040000006</v>
      </c>
      <c r="J1149" s="49">
        <v>4.0000000000000001E-3</v>
      </c>
      <c r="K1149" s="50">
        <f t="shared" si="360"/>
        <v>81.195520000000002</v>
      </c>
      <c r="L1149" s="50" t="s">
        <v>1096</v>
      </c>
      <c r="M1149" s="48">
        <v>42.77</v>
      </c>
      <c r="N1149" s="48">
        <f t="shared" si="361"/>
        <v>31.264870000000002</v>
      </c>
      <c r="O1149" s="48">
        <f t="shared" si="362"/>
        <v>0.12505948</v>
      </c>
      <c r="P1149" s="48">
        <f t="shared" si="363"/>
        <v>2538.5673773824001</v>
      </c>
      <c r="Q1149" s="48">
        <f t="shared" si="364"/>
        <v>10268.3808813824</v>
      </c>
      <c r="R1149" s="41">
        <f t="shared" si="365"/>
        <v>14416.447224510284</v>
      </c>
      <c r="S1149" s="9"/>
    </row>
    <row r="1150" spans="2:19" ht="25.5" x14ac:dyDescent="0.2">
      <c r="B1150" s="61">
        <f>IF(F1150&lt;&gt;"",1+MAX($B$21:B1149),"")</f>
        <v>690</v>
      </c>
      <c r="C1150" s="196"/>
      <c r="D1150" s="73" t="s">
        <v>962</v>
      </c>
      <c r="E1150" s="14" t="s">
        <v>72</v>
      </c>
      <c r="F1150" s="19">
        <v>20298.88</v>
      </c>
      <c r="G1150" s="48">
        <v>0.4</v>
      </c>
      <c r="H1150" s="48">
        <f t="shared" si="358"/>
        <v>0.38080000000000003</v>
      </c>
      <c r="I1150" s="48">
        <f t="shared" si="359"/>
        <v>7729.8135040000006</v>
      </c>
      <c r="J1150" s="49">
        <v>4.0000000000000001E-3</v>
      </c>
      <c r="K1150" s="50">
        <f t="shared" si="360"/>
        <v>81.195520000000002</v>
      </c>
      <c r="L1150" s="50" t="s">
        <v>1096</v>
      </c>
      <c r="M1150" s="48">
        <v>42.77</v>
      </c>
      <c r="N1150" s="48">
        <f t="shared" si="361"/>
        <v>31.264870000000002</v>
      </c>
      <c r="O1150" s="48">
        <f t="shared" si="362"/>
        <v>0.12505948</v>
      </c>
      <c r="P1150" s="48">
        <f t="shared" si="363"/>
        <v>2538.5673773824001</v>
      </c>
      <c r="Q1150" s="48">
        <f t="shared" si="364"/>
        <v>10268.3808813824</v>
      </c>
      <c r="R1150" s="41">
        <f t="shared" si="365"/>
        <v>14416.447224510284</v>
      </c>
      <c r="S1150" s="9"/>
    </row>
    <row r="1151" spans="2:19" x14ac:dyDescent="0.2">
      <c r="B1151" s="61">
        <f>IF(F1151&lt;&gt;"",1+MAX($B$21:B1150),"")</f>
        <v>691</v>
      </c>
      <c r="C1151" s="197"/>
      <c r="D1151" s="73" t="s">
        <v>963</v>
      </c>
      <c r="E1151" s="14" t="s">
        <v>72</v>
      </c>
      <c r="F1151" s="19">
        <v>20298.88</v>
      </c>
      <c r="G1151" s="48">
        <v>0.1</v>
      </c>
      <c r="H1151" s="48">
        <f t="shared" si="358"/>
        <v>9.5200000000000007E-2</v>
      </c>
      <c r="I1151" s="48">
        <f t="shared" si="359"/>
        <v>1932.4533760000002</v>
      </c>
      <c r="J1151" s="49">
        <v>4.0000000000000001E-3</v>
      </c>
      <c r="K1151" s="50">
        <f t="shared" si="360"/>
        <v>81.195520000000002</v>
      </c>
      <c r="L1151" s="50" t="s">
        <v>1096</v>
      </c>
      <c r="M1151" s="48">
        <v>42.77</v>
      </c>
      <c r="N1151" s="48">
        <f t="shared" si="361"/>
        <v>31.264870000000002</v>
      </c>
      <c r="O1151" s="48">
        <f t="shared" si="362"/>
        <v>0.12505948</v>
      </c>
      <c r="P1151" s="48">
        <f t="shared" si="363"/>
        <v>2538.5673773824001</v>
      </c>
      <c r="Q1151" s="48">
        <f t="shared" si="364"/>
        <v>4471.0207533824005</v>
      </c>
      <c r="R1151" s="41">
        <f t="shared" si="365"/>
        <v>6321.0135417710844</v>
      </c>
      <c r="S1151" s="9"/>
    </row>
    <row r="1152" spans="2:19" x14ac:dyDescent="0.2">
      <c r="B1152" s="61" t="str">
        <f>IF(F1152&lt;&gt;"",1+MAX($B$21:B1151),"")</f>
        <v/>
      </c>
      <c r="C1152" s="67"/>
      <c r="D1152" s="73"/>
      <c r="E1152" s="14"/>
      <c r="F1152" s="19"/>
      <c r="G1152" s="48"/>
      <c r="H1152" s="48">
        <f t="shared" si="358"/>
        <v>0</v>
      </c>
      <c r="I1152" s="48">
        <f t="shared" si="359"/>
        <v>0</v>
      </c>
      <c r="J1152" s="49"/>
      <c r="K1152" s="50">
        <f t="shared" si="360"/>
        <v>0</v>
      </c>
      <c r="L1152" s="50"/>
      <c r="M1152" s="48"/>
      <c r="N1152" s="48">
        <f t="shared" si="361"/>
        <v>0</v>
      </c>
      <c r="O1152" s="48">
        <f t="shared" si="362"/>
        <v>0</v>
      </c>
      <c r="P1152" s="48">
        <f t="shared" si="363"/>
        <v>0</v>
      </c>
      <c r="Q1152" s="48">
        <f t="shared" si="364"/>
        <v>0</v>
      </c>
      <c r="R1152" s="41">
        <f t="shared" si="365"/>
        <v>0</v>
      </c>
      <c r="S1152" s="9"/>
    </row>
    <row r="1153" spans="2:19" x14ac:dyDescent="0.2">
      <c r="B1153" s="61" t="str">
        <f>IF(F1153&lt;&gt;"",1+MAX($B$21:B1152),"")</f>
        <v/>
      </c>
      <c r="C1153" s="67"/>
      <c r="D1153" s="142" t="s">
        <v>964</v>
      </c>
      <c r="E1153" s="14"/>
      <c r="F1153" s="19"/>
      <c r="G1153" s="48"/>
      <c r="H1153" s="48">
        <f t="shared" si="358"/>
        <v>0</v>
      </c>
      <c r="I1153" s="48">
        <f t="shared" si="359"/>
        <v>0</v>
      </c>
      <c r="J1153" s="49"/>
      <c r="K1153" s="50">
        <f t="shared" si="360"/>
        <v>0</v>
      </c>
      <c r="L1153" s="50"/>
      <c r="M1153" s="48"/>
      <c r="N1153" s="48">
        <f t="shared" si="361"/>
        <v>0</v>
      </c>
      <c r="O1153" s="48">
        <f t="shared" si="362"/>
        <v>0</v>
      </c>
      <c r="P1153" s="48">
        <f t="shared" si="363"/>
        <v>0</v>
      </c>
      <c r="Q1153" s="48">
        <f t="shared" si="364"/>
        <v>0</v>
      </c>
      <c r="R1153" s="41">
        <f t="shared" si="365"/>
        <v>0</v>
      </c>
      <c r="S1153" s="9"/>
    </row>
    <row r="1154" spans="2:19" x14ac:dyDescent="0.2">
      <c r="B1154" s="61" t="str">
        <f>IF(F1154&lt;&gt;"",1+MAX($B$21:B1153),"")</f>
        <v/>
      </c>
      <c r="C1154" s="67"/>
      <c r="D1154" s="73"/>
      <c r="E1154" s="14"/>
      <c r="F1154" s="19"/>
      <c r="G1154" s="48"/>
      <c r="H1154" s="48">
        <f t="shared" si="358"/>
        <v>0</v>
      </c>
      <c r="I1154" s="48">
        <f t="shared" si="359"/>
        <v>0</v>
      </c>
      <c r="J1154" s="49"/>
      <c r="K1154" s="50">
        <f t="shared" si="360"/>
        <v>0</v>
      </c>
      <c r="L1154" s="50"/>
      <c r="M1154" s="48"/>
      <c r="N1154" s="48">
        <f t="shared" si="361"/>
        <v>0</v>
      </c>
      <c r="O1154" s="48">
        <f t="shared" si="362"/>
        <v>0</v>
      </c>
      <c r="P1154" s="48">
        <f t="shared" si="363"/>
        <v>0</v>
      </c>
      <c r="Q1154" s="48">
        <f t="shared" si="364"/>
        <v>0</v>
      </c>
      <c r="R1154" s="41">
        <f t="shared" si="365"/>
        <v>0</v>
      </c>
      <c r="S1154" s="9"/>
    </row>
    <row r="1155" spans="2:19" x14ac:dyDescent="0.2">
      <c r="B1155" s="61" t="str">
        <f>IF(F1155&lt;&gt;"",1+MAX($B$21:B1154),"")</f>
        <v/>
      </c>
      <c r="C1155" s="198" t="s">
        <v>965</v>
      </c>
      <c r="D1155" s="75" t="s">
        <v>966</v>
      </c>
      <c r="E1155" s="14"/>
      <c r="F1155" s="19"/>
      <c r="G1155" s="48"/>
      <c r="H1155" s="48">
        <f t="shared" si="358"/>
        <v>0</v>
      </c>
      <c r="I1155" s="48">
        <f t="shared" si="359"/>
        <v>0</v>
      </c>
      <c r="J1155" s="49"/>
      <c r="K1155" s="50">
        <f t="shared" si="360"/>
        <v>0</v>
      </c>
      <c r="L1155" s="50"/>
      <c r="M1155" s="48"/>
      <c r="N1155" s="48">
        <f t="shared" si="361"/>
        <v>0</v>
      </c>
      <c r="O1155" s="48">
        <f t="shared" si="362"/>
        <v>0</v>
      </c>
      <c r="P1155" s="48">
        <f t="shared" si="363"/>
        <v>0</v>
      </c>
      <c r="Q1155" s="48">
        <f t="shared" si="364"/>
        <v>0</v>
      </c>
      <c r="R1155" s="41">
        <f t="shared" si="365"/>
        <v>0</v>
      </c>
      <c r="S1155" s="9"/>
    </row>
    <row r="1156" spans="2:19" ht="25.5" x14ac:dyDescent="0.2">
      <c r="B1156" s="61">
        <f>IF(F1156&lt;&gt;"",1+MAX($B$21:B1155),"")</f>
        <v>692</v>
      </c>
      <c r="C1156" s="196"/>
      <c r="D1156" s="73" t="s">
        <v>967</v>
      </c>
      <c r="E1156" s="14" t="s">
        <v>74</v>
      </c>
      <c r="F1156" s="19">
        <v>194</v>
      </c>
      <c r="G1156" s="48">
        <v>2.38</v>
      </c>
      <c r="H1156" s="48">
        <f t="shared" si="358"/>
        <v>2.2657599999999998</v>
      </c>
      <c r="I1156" s="48">
        <f t="shared" ref="I1156" si="367">F1156*H1156</f>
        <v>439.55743999999993</v>
      </c>
      <c r="J1156" s="49">
        <v>3.2000000000000001E-2</v>
      </c>
      <c r="K1156" s="50">
        <f t="shared" ref="K1156" si="368">F1156*J1156</f>
        <v>6.2080000000000002</v>
      </c>
      <c r="L1156" s="50" t="s">
        <v>1096</v>
      </c>
      <c r="M1156" s="48">
        <v>42.77</v>
      </c>
      <c r="N1156" s="48">
        <f t="shared" si="361"/>
        <v>31.264870000000002</v>
      </c>
      <c r="O1156" s="48">
        <f t="shared" si="362"/>
        <v>1.00047584</v>
      </c>
      <c r="P1156" s="48">
        <f t="shared" si="363"/>
        <v>194.09231296000002</v>
      </c>
      <c r="Q1156" s="48">
        <f t="shared" si="364"/>
        <v>633.64975295999989</v>
      </c>
      <c r="R1156" s="41">
        <f t="shared" si="365"/>
        <v>890.76773980991993</v>
      </c>
      <c r="S1156" s="9"/>
    </row>
    <row r="1157" spans="2:19" x14ac:dyDescent="0.2">
      <c r="B1157" s="61" t="str">
        <f>IF(F1157&lt;&gt;"",1+MAX($B$21:B1156),"")</f>
        <v/>
      </c>
      <c r="C1157" s="196"/>
      <c r="D1157" s="73"/>
      <c r="E1157" s="14"/>
      <c r="F1157" s="19"/>
      <c r="G1157" s="48"/>
      <c r="H1157" s="48">
        <f t="shared" si="358"/>
        <v>0</v>
      </c>
      <c r="I1157" s="48">
        <f t="shared" si="359"/>
        <v>0</v>
      </c>
      <c r="J1157" s="49"/>
      <c r="K1157" s="50">
        <f t="shared" si="360"/>
        <v>0</v>
      </c>
      <c r="L1157" s="50"/>
      <c r="M1157" s="48"/>
      <c r="N1157" s="48">
        <f t="shared" si="361"/>
        <v>0</v>
      </c>
      <c r="O1157" s="48">
        <f t="shared" si="362"/>
        <v>0</v>
      </c>
      <c r="P1157" s="48">
        <f t="shared" si="363"/>
        <v>0</v>
      </c>
      <c r="Q1157" s="48">
        <f t="shared" si="364"/>
        <v>0</v>
      </c>
      <c r="R1157" s="41">
        <f t="shared" si="365"/>
        <v>0</v>
      </c>
      <c r="S1157" s="9"/>
    </row>
    <row r="1158" spans="2:19" x14ac:dyDescent="0.2">
      <c r="B1158" s="61" t="str">
        <f>IF(F1158&lt;&gt;"",1+MAX($B$21:B1157),"")</f>
        <v/>
      </c>
      <c r="C1158" s="196"/>
      <c r="D1158" s="75" t="s">
        <v>968</v>
      </c>
      <c r="E1158" s="14"/>
      <c r="F1158" s="19"/>
      <c r="G1158" s="48"/>
      <c r="H1158" s="48">
        <f t="shared" si="358"/>
        <v>0</v>
      </c>
      <c r="I1158" s="48">
        <f t="shared" si="359"/>
        <v>0</v>
      </c>
      <c r="J1158" s="49"/>
      <c r="K1158" s="50">
        <f t="shared" si="360"/>
        <v>0</v>
      </c>
      <c r="L1158" s="50"/>
      <c r="M1158" s="48"/>
      <c r="N1158" s="48">
        <f t="shared" si="361"/>
        <v>0</v>
      </c>
      <c r="O1158" s="48">
        <f t="shared" si="362"/>
        <v>0</v>
      </c>
      <c r="P1158" s="48">
        <f t="shared" si="363"/>
        <v>0</v>
      </c>
      <c r="Q1158" s="48">
        <f t="shared" si="364"/>
        <v>0</v>
      </c>
      <c r="R1158" s="41">
        <f t="shared" si="365"/>
        <v>0</v>
      </c>
      <c r="S1158" s="9"/>
    </row>
    <row r="1159" spans="2:19" ht="25.5" x14ac:dyDescent="0.2">
      <c r="B1159" s="61">
        <f>IF(F1159&lt;&gt;"",1+MAX($B$21:B1158),"")</f>
        <v>693</v>
      </c>
      <c r="C1159" s="196"/>
      <c r="D1159" s="73" t="s">
        <v>969</v>
      </c>
      <c r="E1159" s="14" t="s">
        <v>74</v>
      </c>
      <c r="F1159" s="19">
        <v>7</v>
      </c>
      <c r="G1159" s="48">
        <v>35</v>
      </c>
      <c r="H1159" s="48">
        <f t="shared" si="358"/>
        <v>33.32</v>
      </c>
      <c r="I1159" s="48">
        <f t="shared" si="359"/>
        <v>233.24</v>
      </c>
      <c r="J1159" s="49">
        <v>0.35</v>
      </c>
      <c r="K1159" s="50">
        <f t="shared" si="360"/>
        <v>2.4499999999999997</v>
      </c>
      <c r="L1159" s="50" t="s">
        <v>1096</v>
      </c>
      <c r="M1159" s="48">
        <v>42.77</v>
      </c>
      <c r="N1159" s="48">
        <f t="shared" si="361"/>
        <v>31.264870000000002</v>
      </c>
      <c r="O1159" s="48">
        <f t="shared" si="362"/>
        <v>10.9427045</v>
      </c>
      <c r="P1159" s="48">
        <f t="shared" si="363"/>
        <v>76.598931499999992</v>
      </c>
      <c r="Q1159" s="48">
        <f t="shared" si="364"/>
        <v>309.8389315</v>
      </c>
      <c r="R1159" s="41">
        <f t="shared" si="365"/>
        <v>435.00301125049998</v>
      </c>
      <c r="S1159" s="9"/>
    </row>
    <row r="1160" spans="2:19" x14ac:dyDescent="0.2">
      <c r="B1160" s="61" t="str">
        <f>IF(F1160&lt;&gt;"",1+MAX($B$21:B1159),"")</f>
        <v/>
      </c>
      <c r="C1160" s="196"/>
      <c r="D1160" s="73"/>
      <c r="E1160" s="14"/>
      <c r="F1160" s="19"/>
      <c r="G1160" s="48"/>
      <c r="H1160" s="48">
        <f t="shared" si="358"/>
        <v>0</v>
      </c>
      <c r="I1160" s="48">
        <f t="shared" si="359"/>
        <v>0</v>
      </c>
      <c r="J1160" s="49"/>
      <c r="K1160" s="50">
        <f t="shared" si="360"/>
        <v>0</v>
      </c>
      <c r="L1160" s="50"/>
      <c r="M1160" s="48"/>
      <c r="N1160" s="48">
        <f t="shared" si="361"/>
        <v>0</v>
      </c>
      <c r="O1160" s="48">
        <f t="shared" si="362"/>
        <v>0</v>
      </c>
      <c r="P1160" s="48">
        <f t="shared" si="363"/>
        <v>0</v>
      </c>
      <c r="Q1160" s="48">
        <f t="shared" si="364"/>
        <v>0</v>
      </c>
      <c r="R1160" s="41">
        <f t="shared" si="365"/>
        <v>0</v>
      </c>
      <c r="S1160" s="9"/>
    </row>
    <row r="1161" spans="2:19" x14ac:dyDescent="0.2">
      <c r="B1161" s="61" t="str">
        <f>IF(F1161&lt;&gt;"",1+MAX($B$21:B1160),"")</f>
        <v/>
      </c>
      <c r="C1161" s="196"/>
      <c r="D1161" s="75" t="s">
        <v>960</v>
      </c>
      <c r="E1161" s="14"/>
      <c r="F1161" s="19"/>
      <c r="G1161" s="48"/>
      <c r="H1161" s="48">
        <f t="shared" si="358"/>
        <v>0</v>
      </c>
      <c r="I1161" s="48">
        <f t="shared" si="359"/>
        <v>0</v>
      </c>
      <c r="J1161" s="49"/>
      <c r="K1161" s="50">
        <f t="shared" si="360"/>
        <v>0</v>
      </c>
      <c r="L1161" s="50"/>
      <c r="M1161" s="48"/>
      <c r="N1161" s="48">
        <f t="shared" si="361"/>
        <v>0</v>
      </c>
      <c r="O1161" s="48">
        <f t="shared" si="362"/>
        <v>0</v>
      </c>
      <c r="P1161" s="48">
        <f t="shared" si="363"/>
        <v>0</v>
      </c>
      <c r="Q1161" s="48">
        <f t="shared" si="364"/>
        <v>0</v>
      </c>
      <c r="R1161" s="41">
        <f t="shared" si="365"/>
        <v>0</v>
      </c>
      <c r="S1161" s="9"/>
    </row>
    <row r="1162" spans="2:19" ht="25.5" x14ac:dyDescent="0.2">
      <c r="B1162" s="61">
        <f>IF(F1162&lt;&gt;"",1+MAX($B$21:B1161),"")</f>
        <v>694</v>
      </c>
      <c r="C1162" s="196"/>
      <c r="D1162" s="73" t="s">
        <v>961</v>
      </c>
      <c r="E1162" s="14" t="s">
        <v>72</v>
      </c>
      <c r="F1162" s="19">
        <v>15581.92</v>
      </c>
      <c r="G1162" s="48">
        <v>0.4</v>
      </c>
      <c r="H1162" s="48">
        <f t="shared" si="358"/>
        <v>0.38080000000000003</v>
      </c>
      <c r="I1162" s="48">
        <f t="shared" ref="I1162:I1164" si="369">F1162*H1162</f>
        <v>5933.5951360000008</v>
      </c>
      <c r="J1162" s="49">
        <v>4.0000000000000001E-3</v>
      </c>
      <c r="K1162" s="50">
        <f t="shared" ref="K1162:K1164" si="370">F1162*J1162</f>
        <v>62.327680000000001</v>
      </c>
      <c r="L1162" s="50" t="s">
        <v>1096</v>
      </c>
      <c r="M1162" s="48">
        <v>42.77</v>
      </c>
      <c r="N1162" s="48">
        <f t="shared" si="361"/>
        <v>31.264870000000002</v>
      </c>
      <c r="O1162" s="48">
        <f t="shared" ref="O1162:O1214" si="371">J1162*N1162</f>
        <v>0.12505948</v>
      </c>
      <c r="P1162" s="48">
        <f t="shared" ref="P1162:P1214" si="372">F1162*O1162</f>
        <v>1948.6668126016</v>
      </c>
      <c r="Q1162" s="48">
        <f t="shared" ref="Q1162:Q1214" si="373">I1162+P1162</f>
        <v>7882.261948601601</v>
      </c>
      <c r="R1162" s="41">
        <f t="shared" ref="R1162:R1214" si="374">Q1162+(I1162*$Q$7)+(P1162*$Q$8)+(Q1162*$Q$9)+(Q1162*$Q$11)+($Q$10*(Q1162+(I1162*$Q$7)+(P1162*$Q$8)+(Q1162*$Q$9)))</f>
        <v>11066.419789492886</v>
      </c>
      <c r="S1162" s="9"/>
    </row>
    <row r="1163" spans="2:19" ht="25.5" x14ac:dyDescent="0.2">
      <c r="B1163" s="61">
        <f>IF(F1163&lt;&gt;"",1+MAX($B$21:B1162),"")</f>
        <v>695</v>
      </c>
      <c r="C1163" s="196"/>
      <c r="D1163" s="73" t="s">
        <v>962</v>
      </c>
      <c r="E1163" s="14" t="s">
        <v>72</v>
      </c>
      <c r="F1163" s="19">
        <v>15581.92</v>
      </c>
      <c r="G1163" s="48">
        <v>0.4</v>
      </c>
      <c r="H1163" s="48">
        <f t="shared" ref="H1163" si="375">G1163*$T$2</f>
        <v>0.38080000000000003</v>
      </c>
      <c r="I1163" s="48">
        <f t="shared" si="369"/>
        <v>5933.5951360000008</v>
      </c>
      <c r="J1163" s="49">
        <v>4.0000000000000001E-3</v>
      </c>
      <c r="K1163" s="50">
        <f t="shared" si="370"/>
        <v>62.327680000000001</v>
      </c>
      <c r="L1163" s="50" t="s">
        <v>1096</v>
      </c>
      <c r="M1163" s="48">
        <v>42.77</v>
      </c>
      <c r="N1163" s="48">
        <f t="shared" ref="N1163" si="376">M1163*$U$2</f>
        <v>31.264870000000002</v>
      </c>
      <c r="O1163" s="48">
        <f t="shared" si="371"/>
        <v>0.12505948</v>
      </c>
      <c r="P1163" s="48">
        <f t="shared" si="372"/>
        <v>1948.6668126016</v>
      </c>
      <c r="Q1163" s="48">
        <f t="shared" si="373"/>
        <v>7882.261948601601</v>
      </c>
      <c r="R1163" s="41">
        <f t="shared" si="374"/>
        <v>11066.419789492886</v>
      </c>
      <c r="S1163" s="9"/>
    </row>
    <row r="1164" spans="2:19" x14ac:dyDescent="0.2">
      <c r="B1164" s="61">
        <f>IF(F1164&lt;&gt;"",1+MAX($B$21:B1163),"")</f>
        <v>696</v>
      </c>
      <c r="C1164" s="196"/>
      <c r="D1164" s="73" t="s">
        <v>963</v>
      </c>
      <c r="E1164" s="14" t="s">
        <v>72</v>
      </c>
      <c r="F1164" s="19">
        <v>15581.92</v>
      </c>
      <c r="G1164" s="48">
        <v>0.1</v>
      </c>
      <c r="H1164" s="48">
        <f t="shared" si="358"/>
        <v>9.5200000000000007E-2</v>
      </c>
      <c r="I1164" s="48">
        <f t="shared" si="369"/>
        <v>1483.3987840000002</v>
      </c>
      <c r="J1164" s="49">
        <v>4.0000000000000001E-3</v>
      </c>
      <c r="K1164" s="50">
        <f t="shared" si="370"/>
        <v>62.327680000000001</v>
      </c>
      <c r="L1164" s="50" t="s">
        <v>1096</v>
      </c>
      <c r="M1164" s="48">
        <v>42.77</v>
      </c>
      <c r="N1164" s="48">
        <f t="shared" si="361"/>
        <v>31.264870000000002</v>
      </c>
      <c r="O1164" s="48">
        <f t="shared" si="371"/>
        <v>0.12505948</v>
      </c>
      <c r="P1164" s="48">
        <f t="shared" si="372"/>
        <v>1948.6668126016</v>
      </c>
      <c r="Q1164" s="48">
        <f t="shared" si="373"/>
        <v>3432.0655966016002</v>
      </c>
      <c r="R1164" s="41">
        <f t="shared" si="374"/>
        <v>4852.1656035600836</v>
      </c>
      <c r="S1164" s="9"/>
    </row>
    <row r="1165" spans="2:19" x14ac:dyDescent="0.2">
      <c r="B1165" s="61">
        <f>IF(F1165&lt;&gt;"",1+MAX($B$21:B1164),"")</f>
        <v>697</v>
      </c>
      <c r="C1165" s="196"/>
      <c r="D1165" s="73" t="s">
        <v>970</v>
      </c>
      <c r="E1165" s="14" t="s">
        <v>72</v>
      </c>
      <c r="F1165" s="19">
        <v>2114</v>
      </c>
      <c r="G1165" s="48">
        <v>0.12</v>
      </c>
      <c r="H1165" s="48">
        <f t="shared" ref="H1165:H1214" si="377">G1165*$T$2</f>
        <v>0.11423999999999999</v>
      </c>
      <c r="I1165" s="48">
        <f t="shared" ref="I1165:I1214" si="378">F1165*H1165</f>
        <v>241.50335999999999</v>
      </c>
      <c r="J1165" s="49">
        <v>2E-3</v>
      </c>
      <c r="K1165" s="50">
        <f t="shared" ref="K1165:K1214" si="379">F1165*J1165</f>
        <v>4.2279999999999998</v>
      </c>
      <c r="L1165" s="50" t="s">
        <v>1096</v>
      </c>
      <c r="M1165" s="48">
        <v>42.77</v>
      </c>
      <c r="N1165" s="48">
        <f t="shared" ref="N1165:N1214" si="380">M1165*$U$2</f>
        <v>31.264870000000002</v>
      </c>
      <c r="O1165" s="48">
        <f t="shared" si="371"/>
        <v>6.252974E-2</v>
      </c>
      <c r="P1165" s="48">
        <f t="shared" si="372"/>
        <v>132.18787036000001</v>
      </c>
      <c r="Q1165" s="48">
        <f t="shared" si="373"/>
        <v>373.69123035999996</v>
      </c>
      <c r="R1165" s="41">
        <f t="shared" si="374"/>
        <v>525.86738290771984</v>
      </c>
      <c r="S1165" s="9"/>
    </row>
    <row r="1166" spans="2:19" x14ac:dyDescent="0.2">
      <c r="B1166" s="61">
        <f>IF(F1166&lt;&gt;"",1+MAX($B$21:B1165),"")</f>
        <v>698</v>
      </c>
      <c r="C1166" s="197"/>
      <c r="D1166" s="73" t="s">
        <v>971</v>
      </c>
      <c r="E1166" s="14" t="s">
        <v>72</v>
      </c>
      <c r="F1166" s="19">
        <v>2114</v>
      </c>
      <c r="G1166" s="48">
        <v>0.75</v>
      </c>
      <c r="H1166" s="48">
        <f t="shared" si="377"/>
        <v>0.71399999999999997</v>
      </c>
      <c r="I1166" s="48">
        <f t="shared" si="378"/>
        <v>1509.396</v>
      </c>
      <c r="J1166" s="49">
        <v>5.0000000000000001E-3</v>
      </c>
      <c r="K1166" s="50">
        <f t="shared" si="379"/>
        <v>10.57</v>
      </c>
      <c r="L1166" s="50" t="s">
        <v>1096</v>
      </c>
      <c r="M1166" s="48">
        <v>42.77</v>
      </c>
      <c r="N1166" s="48">
        <f t="shared" si="380"/>
        <v>31.264870000000002</v>
      </c>
      <c r="O1166" s="48">
        <f t="shared" si="371"/>
        <v>0.15632435</v>
      </c>
      <c r="P1166" s="48">
        <f t="shared" si="372"/>
        <v>330.46967590000003</v>
      </c>
      <c r="Q1166" s="48">
        <f t="shared" si="373"/>
        <v>1839.8656759</v>
      </c>
      <c r="R1166" s="41">
        <f t="shared" si="374"/>
        <v>2579.3008019092999</v>
      </c>
      <c r="S1166" s="9"/>
    </row>
    <row r="1167" spans="2:19" x14ac:dyDescent="0.2">
      <c r="B1167" s="61" t="str">
        <f>IF(F1167&lt;&gt;"",1+MAX($B$21:B1166),"")</f>
        <v/>
      </c>
      <c r="C1167" s="67"/>
      <c r="D1167" s="73"/>
      <c r="E1167" s="14"/>
      <c r="F1167" s="19"/>
      <c r="G1167" s="48"/>
      <c r="H1167" s="48">
        <f t="shared" si="377"/>
        <v>0</v>
      </c>
      <c r="I1167" s="48">
        <f t="shared" si="378"/>
        <v>0</v>
      </c>
      <c r="J1167" s="49"/>
      <c r="K1167" s="50">
        <f t="shared" si="379"/>
        <v>0</v>
      </c>
      <c r="L1167" s="50"/>
      <c r="M1167" s="48"/>
      <c r="N1167" s="48">
        <f t="shared" si="380"/>
        <v>0</v>
      </c>
      <c r="O1167" s="48">
        <f t="shared" si="371"/>
        <v>0</v>
      </c>
      <c r="P1167" s="48">
        <f t="shared" si="372"/>
        <v>0</v>
      </c>
      <c r="Q1167" s="48">
        <f t="shared" si="373"/>
        <v>0</v>
      </c>
      <c r="R1167" s="41">
        <f t="shared" si="374"/>
        <v>0</v>
      </c>
      <c r="S1167" s="9"/>
    </row>
    <row r="1168" spans="2:19" x14ac:dyDescent="0.2">
      <c r="B1168" s="61" t="str">
        <f>IF(F1168&lt;&gt;"",1+MAX($B$21:B1167),"")</f>
        <v/>
      </c>
      <c r="C1168" s="67"/>
      <c r="D1168" s="142" t="s">
        <v>972</v>
      </c>
      <c r="E1168" s="14"/>
      <c r="F1168" s="19"/>
      <c r="G1168" s="48"/>
      <c r="H1168" s="48">
        <f t="shared" si="377"/>
        <v>0</v>
      </c>
      <c r="I1168" s="48">
        <f t="shared" si="378"/>
        <v>0</v>
      </c>
      <c r="J1168" s="49"/>
      <c r="K1168" s="50">
        <f t="shared" si="379"/>
        <v>0</v>
      </c>
      <c r="L1168" s="50"/>
      <c r="M1168" s="48"/>
      <c r="N1168" s="48">
        <f t="shared" si="380"/>
        <v>0</v>
      </c>
      <c r="O1168" s="48">
        <f t="shared" si="371"/>
        <v>0</v>
      </c>
      <c r="P1168" s="48">
        <f t="shared" si="372"/>
        <v>0</v>
      </c>
      <c r="Q1168" s="48">
        <f t="shared" si="373"/>
        <v>0</v>
      </c>
      <c r="R1168" s="41">
        <f t="shared" si="374"/>
        <v>0</v>
      </c>
      <c r="S1168" s="9"/>
    </row>
    <row r="1169" spans="2:19" x14ac:dyDescent="0.2">
      <c r="B1169" s="61" t="str">
        <f>IF(F1169&lt;&gt;"",1+MAX($B$21:B1168),"")</f>
        <v/>
      </c>
      <c r="C1169" s="67"/>
      <c r="D1169" s="73"/>
      <c r="E1169" s="14"/>
      <c r="F1169" s="19"/>
      <c r="G1169" s="48"/>
      <c r="H1169" s="48">
        <f t="shared" si="377"/>
        <v>0</v>
      </c>
      <c r="I1169" s="48">
        <f t="shared" si="378"/>
        <v>0</v>
      </c>
      <c r="J1169" s="49"/>
      <c r="K1169" s="50">
        <f t="shared" si="379"/>
        <v>0</v>
      </c>
      <c r="L1169" s="50"/>
      <c r="M1169" s="48"/>
      <c r="N1169" s="48">
        <f t="shared" si="380"/>
        <v>0</v>
      </c>
      <c r="O1169" s="48">
        <f t="shared" si="371"/>
        <v>0</v>
      </c>
      <c r="P1169" s="48">
        <f t="shared" si="372"/>
        <v>0</v>
      </c>
      <c r="Q1169" s="48">
        <f t="shared" si="373"/>
        <v>0</v>
      </c>
      <c r="R1169" s="41">
        <f t="shared" si="374"/>
        <v>0</v>
      </c>
      <c r="S1169" s="9"/>
    </row>
    <row r="1170" spans="2:19" x14ac:dyDescent="0.2">
      <c r="B1170" s="61" t="str">
        <f>IF(F1170&lt;&gt;"",1+MAX($B$21:B1169),"")</f>
        <v/>
      </c>
      <c r="C1170" s="198" t="s">
        <v>973</v>
      </c>
      <c r="D1170" s="75" t="s">
        <v>966</v>
      </c>
      <c r="E1170" s="14"/>
      <c r="F1170" s="19"/>
      <c r="G1170" s="48"/>
      <c r="H1170" s="48">
        <f t="shared" si="377"/>
        <v>0</v>
      </c>
      <c r="I1170" s="48">
        <f t="shared" si="378"/>
        <v>0</v>
      </c>
      <c r="J1170" s="49"/>
      <c r="K1170" s="50">
        <f t="shared" si="379"/>
        <v>0</v>
      </c>
      <c r="L1170" s="50"/>
      <c r="M1170" s="48"/>
      <c r="N1170" s="48">
        <f t="shared" si="380"/>
        <v>0</v>
      </c>
      <c r="O1170" s="48">
        <f t="shared" si="371"/>
        <v>0</v>
      </c>
      <c r="P1170" s="48">
        <f t="shared" si="372"/>
        <v>0</v>
      </c>
      <c r="Q1170" s="48">
        <f t="shared" si="373"/>
        <v>0</v>
      </c>
      <c r="R1170" s="41">
        <f t="shared" si="374"/>
        <v>0</v>
      </c>
      <c r="S1170" s="9"/>
    </row>
    <row r="1171" spans="2:19" ht="25.5" x14ac:dyDescent="0.2">
      <c r="B1171" s="61">
        <f>IF(F1171&lt;&gt;"",1+MAX($B$21:B1170),"")</f>
        <v>699</v>
      </c>
      <c r="C1171" s="196"/>
      <c r="D1171" s="73" t="s">
        <v>974</v>
      </c>
      <c r="E1171" s="14" t="s">
        <v>74</v>
      </c>
      <c r="F1171" s="19">
        <v>194</v>
      </c>
      <c r="G1171" s="48">
        <v>2.38</v>
      </c>
      <c r="H1171" s="48">
        <f t="shared" si="377"/>
        <v>2.2657599999999998</v>
      </c>
      <c r="I1171" s="48">
        <f t="shared" si="378"/>
        <v>439.55743999999993</v>
      </c>
      <c r="J1171" s="49">
        <v>3.2000000000000001E-2</v>
      </c>
      <c r="K1171" s="50">
        <f t="shared" si="379"/>
        <v>6.2080000000000002</v>
      </c>
      <c r="L1171" s="50" t="s">
        <v>1096</v>
      </c>
      <c r="M1171" s="48">
        <v>42.77</v>
      </c>
      <c r="N1171" s="48">
        <f t="shared" si="380"/>
        <v>31.264870000000002</v>
      </c>
      <c r="O1171" s="48">
        <f t="shared" si="371"/>
        <v>1.00047584</v>
      </c>
      <c r="P1171" s="48">
        <f t="shared" si="372"/>
        <v>194.09231296000002</v>
      </c>
      <c r="Q1171" s="48">
        <f t="shared" si="373"/>
        <v>633.64975295999989</v>
      </c>
      <c r="R1171" s="41">
        <f t="shared" si="374"/>
        <v>890.76773980991993</v>
      </c>
      <c r="S1171" s="9"/>
    </row>
    <row r="1172" spans="2:19" x14ac:dyDescent="0.2">
      <c r="B1172" s="61" t="str">
        <f>IF(F1172&lt;&gt;"",1+MAX($B$21:B1171),"")</f>
        <v/>
      </c>
      <c r="C1172" s="196"/>
      <c r="D1172" s="73"/>
      <c r="E1172" s="14"/>
      <c r="F1172" s="19"/>
      <c r="G1172" s="48"/>
      <c r="H1172" s="48">
        <f t="shared" si="377"/>
        <v>0</v>
      </c>
      <c r="I1172" s="48">
        <f t="shared" si="378"/>
        <v>0</v>
      </c>
      <c r="J1172" s="49"/>
      <c r="K1172" s="50">
        <f t="shared" si="379"/>
        <v>0</v>
      </c>
      <c r="L1172" s="50"/>
      <c r="M1172" s="48"/>
      <c r="N1172" s="48">
        <f t="shared" si="380"/>
        <v>0</v>
      </c>
      <c r="O1172" s="48">
        <f t="shared" si="371"/>
        <v>0</v>
      </c>
      <c r="P1172" s="48">
        <f t="shared" si="372"/>
        <v>0</v>
      </c>
      <c r="Q1172" s="48">
        <f t="shared" si="373"/>
        <v>0</v>
      </c>
      <c r="R1172" s="41">
        <f t="shared" si="374"/>
        <v>0</v>
      </c>
      <c r="S1172" s="9"/>
    </row>
    <row r="1173" spans="2:19" x14ac:dyDescent="0.2">
      <c r="B1173" s="61" t="str">
        <f>IF(F1173&lt;&gt;"",1+MAX($B$21:B1172),"")</f>
        <v/>
      </c>
      <c r="C1173" s="196"/>
      <c r="D1173" s="75" t="s">
        <v>960</v>
      </c>
      <c r="E1173" s="14"/>
      <c r="F1173" s="19"/>
      <c r="G1173" s="48"/>
      <c r="H1173" s="48">
        <f t="shared" si="377"/>
        <v>0</v>
      </c>
      <c r="I1173" s="48">
        <f t="shared" si="378"/>
        <v>0</v>
      </c>
      <c r="J1173" s="49"/>
      <c r="K1173" s="50">
        <f t="shared" si="379"/>
        <v>0</v>
      </c>
      <c r="L1173" s="50"/>
      <c r="M1173" s="48"/>
      <c r="N1173" s="48">
        <f t="shared" si="380"/>
        <v>0</v>
      </c>
      <c r="O1173" s="48">
        <f t="shared" si="371"/>
        <v>0</v>
      </c>
      <c r="P1173" s="48">
        <f t="shared" si="372"/>
        <v>0</v>
      </c>
      <c r="Q1173" s="48">
        <f t="shared" si="373"/>
        <v>0</v>
      </c>
      <c r="R1173" s="41">
        <f t="shared" si="374"/>
        <v>0</v>
      </c>
      <c r="S1173" s="9"/>
    </row>
    <row r="1174" spans="2:19" x14ac:dyDescent="0.2">
      <c r="B1174" s="61">
        <f>IF(F1174&lt;&gt;"",1+MAX($B$21:B1173),"")</f>
        <v>700</v>
      </c>
      <c r="C1174" s="196"/>
      <c r="D1174" s="73" t="s">
        <v>975</v>
      </c>
      <c r="E1174" s="14" t="s">
        <v>72</v>
      </c>
      <c r="F1174" s="19">
        <v>14393.68</v>
      </c>
      <c r="G1174" s="12">
        <f>223/100</f>
        <v>2.23</v>
      </c>
      <c r="H1174" s="12">
        <f t="shared" si="377"/>
        <v>2.12296</v>
      </c>
      <c r="I1174" s="12">
        <f t="shared" si="378"/>
        <v>30557.206892800001</v>
      </c>
      <c r="J1174" s="11">
        <v>1.7999999999999999E-2</v>
      </c>
      <c r="K1174" s="7">
        <f t="shared" si="379"/>
        <v>259.08623999999998</v>
      </c>
      <c r="L1174" s="28" t="s">
        <v>1097</v>
      </c>
      <c r="M1174" s="29">
        <v>48.72</v>
      </c>
      <c r="N1174" s="48">
        <f t="shared" si="380"/>
        <v>35.614319999999999</v>
      </c>
      <c r="O1174" s="48">
        <f t="shared" si="371"/>
        <v>0.64105775999999992</v>
      </c>
      <c r="P1174" s="48">
        <f t="shared" si="372"/>
        <v>9227.1802589567997</v>
      </c>
      <c r="Q1174" s="48">
        <f t="shared" si="373"/>
        <v>39784.387151756804</v>
      </c>
      <c r="R1174" s="41">
        <f t="shared" si="374"/>
        <v>55837.269934637283</v>
      </c>
      <c r="S1174" s="9"/>
    </row>
    <row r="1175" spans="2:19" x14ac:dyDescent="0.2">
      <c r="B1175" s="61" t="str">
        <f>IF(F1175&lt;&gt;"",1+MAX($B$21:B1174),"")</f>
        <v/>
      </c>
      <c r="C1175" s="67"/>
      <c r="D1175" s="73"/>
      <c r="E1175" s="14"/>
      <c r="F1175" s="19"/>
      <c r="G1175" s="48"/>
      <c r="H1175" s="48">
        <f t="shared" si="377"/>
        <v>0</v>
      </c>
      <c r="I1175" s="48">
        <f t="shared" si="378"/>
        <v>0</v>
      </c>
      <c r="J1175" s="49"/>
      <c r="K1175" s="50">
        <f t="shared" si="379"/>
        <v>0</v>
      </c>
      <c r="L1175" s="50"/>
      <c r="M1175" s="48"/>
      <c r="N1175" s="48">
        <f t="shared" si="380"/>
        <v>0</v>
      </c>
      <c r="O1175" s="48">
        <f t="shared" si="371"/>
        <v>0</v>
      </c>
      <c r="P1175" s="48">
        <f t="shared" si="372"/>
        <v>0</v>
      </c>
      <c r="Q1175" s="48">
        <f t="shared" si="373"/>
        <v>0</v>
      </c>
      <c r="R1175" s="41">
        <f t="shared" si="374"/>
        <v>0</v>
      </c>
      <c r="S1175" s="9"/>
    </row>
    <row r="1176" spans="2:19" x14ac:dyDescent="0.2">
      <c r="B1176" s="62" t="str">
        <f>IF(F1176&lt;&gt;"",1+MAX($B$21:B1175),"")</f>
        <v/>
      </c>
      <c r="C1176" s="68"/>
      <c r="D1176" s="74" t="s">
        <v>976</v>
      </c>
      <c r="E1176" s="14"/>
      <c r="F1176" s="19"/>
      <c r="G1176" s="48"/>
      <c r="H1176" s="48">
        <f t="shared" si="377"/>
        <v>0</v>
      </c>
      <c r="I1176" s="48">
        <f t="shared" si="378"/>
        <v>0</v>
      </c>
      <c r="J1176" s="49"/>
      <c r="K1176" s="50">
        <f t="shared" si="379"/>
        <v>0</v>
      </c>
      <c r="L1176" s="50"/>
      <c r="M1176" s="48"/>
      <c r="N1176" s="48">
        <f t="shared" si="380"/>
        <v>0</v>
      </c>
      <c r="O1176" s="48">
        <f t="shared" si="371"/>
        <v>0</v>
      </c>
      <c r="P1176" s="48">
        <f t="shared" si="372"/>
        <v>0</v>
      </c>
      <c r="Q1176" s="48">
        <f t="shared" si="373"/>
        <v>0</v>
      </c>
      <c r="R1176" s="41">
        <f t="shared" si="374"/>
        <v>0</v>
      </c>
    </row>
    <row r="1177" spans="2:19" x14ac:dyDescent="0.2">
      <c r="B1177" s="61" t="str">
        <f>IF(F1177&lt;&gt;"",1+MAX($B$21:B1176),"")</f>
        <v/>
      </c>
      <c r="C1177" s="67"/>
      <c r="D1177" s="73"/>
      <c r="E1177" s="14"/>
      <c r="F1177" s="19"/>
      <c r="G1177" s="48"/>
      <c r="H1177" s="48">
        <f t="shared" si="377"/>
        <v>0</v>
      </c>
      <c r="I1177" s="48">
        <f t="shared" si="378"/>
        <v>0</v>
      </c>
      <c r="J1177" s="49"/>
      <c r="K1177" s="50">
        <f t="shared" si="379"/>
        <v>0</v>
      </c>
      <c r="L1177" s="50"/>
      <c r="M1177" s="48"/>
      <c r="N1177" s="48">
        <f t="shared" si="380"/>
        <v>0</v>
      </c>
      <c r="O1177" s="48">
        <f t="shared" si="371"/>
        <v>0</v>
      </c>
      <c r="P1177" s="48">
        <f t="shared" si="372"/>
        <v>0</v>
      </c>
      <c r="Q1177" s="48">
        <f t="shared" si="373"/>
        <v>0</v>
      </c>
      <c r="R1177" s="41">
        <f t="shared" si="374"/>
        <v>0</v>
      </c>
      <c r="S1177" s="9"/>
    </row>
    <row r="1178" spans="2:19" x14ac:dyDescent="0.2">
      <c r="B1178" s="61" t="str">
        <f>IF(F1178&lt;&gt;"",1+MAX($B$21:B1177),"")</f>
        <v/>
      </c>
      <c r="C1178" s="67"/>
      <c r="D1178" s="75" t="s">
        <v>977</v>
      </c>
      <c r="E1178" s="14"/>
      <c r="F1178" s="19"/>
      <c r="G1178" s="48"/>
      <c r="H1178" s="48">
        <f t="shared" si="377"/>
        <v>0</v>
      </c>
      <c r="I1178" s="48">
        <f t="shared" si="378"/>
        <v>0</v>
      </c>
      <c r="J1178" s="49"/>
      <c r="K1178" s="50">
        <f t="shared" si="379"/>
        <v>0</v>
      </c>
      <c r="L1178" s="50"/>
      <c r="M1178" s="48"/>
      <c r="N1178" s="48">
        <f t="shared" si="380"/>
        <v>0</v>
      </c>
      <c r="O1178" s="48">
        <f t="shared" si="371"/>
        <v>0</v>
      </c>
      <c r="P1178" s="48">
        <f t="shared" si="372"/>
        <v>0</v>
      </c>
      <c r="Q1178" s="48">
        <f t="shared" si="373"/>
        <v>0</v>
      </c>
      <c r="R1178" s="41">
        <f t="shared" si="374"/>
        <v>0</v>
      </c>
      <c r="S1178" s="9"/>
    </row>
    <row r="1179" spans="2:19" ht="38.25" x14ac:dyDescent="0.2">
      <c r="B1179" s="61">
        <f>IF(F1179&lt;&gt;"",1+MAX($B$21:B1178),"")</f>
        <v>701</v>
      </c>
      <c r="C1179" s="198" t="s">
        <v>978</v>
      </c>
      <c r="D1179" s="73" t="s">
        <v>979</v>
      </c>
      <c r="E1179" s="14" t="s">
        <v>79</v>
      </c>
      <c r="F1179" s="19">
        <v>5</v>
      </c>
      <c r="G1179" s="48">
        <v>225</v>
      </c>
      <c r="H1179" s="48">
        <f t="shared" si="377"/>
        <v>214.2</v>
      </c>
      <c r="I1179" s="48">
        <f t="shared" si="378"/>
        <v>1071</v>
      </c>
      <c r="J1179" s="11">
        <v>1.907</v>
      </c>
      <c r="K1179" s="7">
        <f t="shared" ref="K1179" si="381">F1179*J1179</f>
        <v>9.5350000000000001</v>
      </c>
      <c r="L1179" s="28" t="s">
        <v>1098</v>
      </c>
      <c r="M1179" s="29">
        <v>66.59</v>
      </c>
      <c r="N1179" s="48">
        <f t="shared" si="380"/>
        <v>48.677289999999999</v>
      </c>
      <c r="O1179" s="48">
        <f t="shared" si="371"/>
        <v>92.827592030000005</v>
      </c>
      <c r="P1179" s="48">
        <f t="shared" si="372"/>
        <v>464.13796015000003</v>
      </c>
      <c r="Q1179" s="48">
        <f t="shared" si="373"/>
        <v>1535.13796015</v>
      </c>
      <c r="R1179" s="41">
        <f t="shared" si="374"/>
        <v>2157.8692691340502</v>
      </c>
      <c r="S1179" s="9"/>
    </row>
    <row r="1180" spans="2:19" ht="38.25" x14ac:dyDescent="0.2">
      <c r="B1180" s="61">
        <f>IF(F1180&lt;&gt;"",1+MAX($B$21:B1179),"")</f>
        <v>702</v>
      </c>
      <c r="C1180" s="196"/>
      <c r="D1180" s="73" t="s">
        <v>980</v>
      </c>
      <c r="E1180" s="14" t="s">
        <v>79</v>
      </c>
      <c r="F1180" s="19">
        <v>11</v>
      </c>
      <c r="G1180" s="48">
        <v>150</v>
      </c>
      <c r="H1180" s="48">
        <f t="shared" si="377"/>
        <v>142.79999999999998</v>
      </c>
      <c r="I1180" s="48">
        <f t="shared" si="378"/>
        <v>1570.7999999999997</v>
      </c>
      <c r="J1180" s="11">
        <v>1.907</v>
      </c>
      <c r="K1180" s="7">
        <f t="shared" si="379"/>
        <v>20.977</v>
      </c>
      <c r="L1180" s="28" t="s">
        <v>1098</v>
      </c>
      <c r="M1180" s="29">
        <v>66.59</v>
      </c>
      <c r="N1180" s="48">
        <f t="shared" si="380"/>
        <v>48.677289999999999</v>
      </c>
      <c r="O1180" s="48">
        <f t="shared" si="371"/>
        <v>92.827592030000005</v>
      </c>
      <c r="P1180" s="48">
        <f t="shared" si="372"/>
        <v>1021.1035123300001</v>
      </c>
      <c r="Q1180" s="48">
        <f t="shared" si="373"/>
        <v>2591.90351233</v>
      </c>
      <c r="R1180" s="41">
        <f t="shared" si="374"/>
        <v>3650.5798320949102</v>
      </c>
      <c r="S1180" s="9"/>
    </row>
    <row r="1181" spans="2:19" x14ac:dyDescent="0.2">
      <c r="B1181" s="61" t="str">
        <f>IF(F1181&lt;&gt;"",1+MAX($B$21:B1180),"")</f>
        <v/>
      </c>
      <c r="C1181" s="196"/>
      <c r="D1181" s="73"/>
      <c r="E1181" s="14"/>
      <c r="F1181" s="19"/>
      <c r="G1181" s="48"/>
      <c r="H1181" s="48">
        <f t="shared" si="377"/>
        <v>0</v>
      </c>
      <c r="I1181" s="48">
        <f t="shared" si="378"/>
        <v>0</v>
      </c>
      <c r="J1181" s="49"/>
      <c r="K1181" s="50">
        <f t="shared" si="379"/>
        <v>0</v>
      </c>
      <c r="L1181" s="50"/>
      <c r="M1181" s="48"/>
      <c r="N1181" s="48">
        <f t="shared" si="380"/>
        <v>0</v>
      </c>
      <c r="O1181" s="48">
        <f t="shared" si="371"/>
        <v>0</v>
      </c>
      <c r="P1181" s="48">
        <f t="shared" si="372"/>
        <v>0</v>
      </c>
      <c r="Q1181" s="48">
        <f t="shared" si="373"/>
        <v>0</v>
      </c>
      <c r="R1181" s="41">
        <f t="shared" si="374"/>
        <v>0</v>
      </c>
      <c r="S1181" s="9"/>
    </row>
    <row r="1182" spans="2:19" x14ac:dyDescent="0.2">
      <c r="B1182" s="61" t="str">
        <f>IF(F1182&lt;&gt;"",1+MAX($B$21:B1181),"")</f>
        <v/>
      </c>
      <c r="C1182" s="196"/>
      <c r="D1182" s="75" t="s">
        <v>981</v>
      </c>
      <c r="E1182" s="14"/>
      <c r="F1182" s="19"/>
      <c r="G1182" s="48"/>
      <c r="H1182" s="48">
        <f t="shared" si="377"/>
        <v>0</v>
      </c>
      <c r="I1182" s="48">
        <f t="shared" si="378"/>
        <v>0</v>
      </c>
      <c r="J1182" s="49"/>
      <c r="K1182" s="50">
        <f t="shared" si="379"/>
        <v>0</v>
      </c>
      <c r="L1182" s="50"/>
      <c r="M1182" s="48"/>
      <c r="N1182" s="48">
        <f t="shared" si="380"/>
        <v>0</v>
      </c>
      <c r="O1182" s="48">
        <f t="shared" si="371"/>
        <v>0</v>
      </c>
      <c r="P1182" s="48">
        <f t="shared" si="372"/>
        <v>0</v>
      </c>
      <c r="Q1182" s="48">
        <f t="shared" si="373"/>
        <v>0</v>
      </c>
      <c r="R1182" s="41">
        <f t="shared" si="374"/>
        <v>0</v>
      </c>
      <c r="S1182" s="9"/>
    </row>
    <row r="1183" spans="2:19" ht="38.25" x14ac:dyDescent="0.2">
      <c r="B1183" s="61">
        <f>IF(F1183&lt;&gt;"",1+MAX($B$21:B1182),"")</f>
        <v>703</v>
      </c>
      <c r="C1183" s="196"/>
      <c r="D1183" s="73" t="s">
        <v>982</v>
      </c>
      <c r="E1183" s="14" t="s">
        <v>79</v>
      </c>
      <c r="F1183" s="19">
        <v>17</v>
      </c>
      <c r="G1183" s="48">
        <v>45</v>
      </c>
      <c r="H1183" s="48">
        <f t="shared" si="377"/>
        <v>42.839999999999996</v>
      </c>
      <c r="I1183" s="48">
        <f t="shared" si="378"/>
        <v>728.28</v>
      </c>
      <c r="J1183" s="11">
        <v>0.35</v>
      </c>
      <c r="K1183" s="7">
        <f t="shared" si="379"/>
        <v>5.9499999999999993</v>
      </c>
      <c r="L1183" s="28" t="s">
        <v>1096</v>
      </c>
      <c r="M1183" s="29">
        <v>42.77</v>
      </c>
      <c r="N1183" s="48">
        <f t="shared" si="380"/>
        <v>31.264870000000002</v>
      </c>
      <c r="O1183" s="48">
        <f t="shared" si="371"/>
        <v>10.9427045</v>
      </c>
      <c r="P1183" s="48">
        <f t="shared" si="372"/>
        <v>186.02597649999998</v>
      </c>
      <c r="Q1183" s="48">
        <f t="shared" si="373"/>
        <v>914.30597649999993</v>
      </c>
      <c r="R1183" s="41">
        <f t="shared" si="374"/>
        <v>1282.4292604655</v>
      </c>
      <c r="S1183" s="9"/>
    </row>
    <row r="1184" spans="2:19" ht="38.25" x14ac:dyDescent="0.2">
      <c r="B1184" s="61">
        <f>IF(F1184&lt;&gt;"",1+MAX($B$21:B1183),"")</f>
        <v>704</v>
      </c>
      <c r="C1184" s="196"/>
      <c r="D1184" s="73" t="s">
        <v>983</v>
      </c>
      <c r="E1184" s="14" t="s">
        <v>79</v>
      </c>
      <c r="F1184" s="19">
        <v>15</v>
      </c>
      <c r="G1184" s="48">
        <v>25</v>
      </c>
      <c r="H1184" s="48">
        <f t="shared" si="377"/>
        <v>23.799999999999997</v>
      </c>
      <c r="I1184" s="48">
        <f t="shared" si="378"/>
        <v>356.99999999999994</v>
      </c>
      <c r="J1184" s="11">
        <v>0.35</v>
      </c>
      <c r="K1184" s="7">
        <f t="shared" si="379"/>
        <v>5.25</v>
      </c>
      <c r="L1184" s="28" t="s">
        <v>1096</v>
      </c>
      <c r="M1184" s="29">
        <v>42.77</v>
      </c>
      <c r="N1184" s="48">
        <f t="shared" si="380"/>
        <v>31.264870000000002</v>
      </c>
      <c r="O1184" s="48">
        <f t="shared" si="371"/>
        <v>10.9427045</v>
      </c>
      <c r="P1184" s="48">
        <f t="shared" si="372"/>
        <v>164.1405675</v>
      </c>
      <c r="Q1184" s="48">
        <f t="shared" si="373"/>
        <v>521.14056749999997</v>
      </c>
      <c r="R1184" s="41">
        <f t="shared" si="374"/>
        <v>732.74338982249992</v>
      </c>
      <c r="S1184" s="9"/>
    </row>
    <row r="1185" spans="2:19" x14ac:dyDescent="0.2">
      <c r="B1185" s="61" t="str">
        <f>IF(F1185&lt;&gt;"",1+MAX($B$21:B1184),"")</f>
        <v/>
      </c>
      <c r="C1185" s="196"/>
      <c r="D1185" s="73"/>
      <c r="E1185" s="14"/>
      <c r="F1185" s="19"/>
      <c r="G1185" s="48"/>
      <c r="H1185" s="48">
        <f t="shared" si="377"/>
        <v>0</v>
      </c>
      <c r="I1185" s="48">
        <f t="shared" si="378"/>
        <v>0</v>
      </c>
      <c r="J1185" s="49"/>
      <c r="K1185" s="50">
        <f t="shared" si="379"/>
        <v>0</v>
      </c>
      <c r="L1185" s="50"/>
      <c r="M1185" s="48"/>
      <c r="N1185" s="48">
        <f t="shared" si="380"/>
        <v>0</v>
      </c>
      <c r="O1185" s="48">
        <f t="shared" si="371"/>
        <v>0</v>
      </c>
      <c r="P1185" s="48">
        <f t="shared" si="372"/>
        <v>0</v>
      </c>
      <c r="Q1185" s="48">
        <f t="shared" si="373"/>
        <v>0</v>
      </c>
      <c r="R1185" s="41">
        <f t="shared" si="374"/>
        <v>0</v>
      </c>
      <c r="S1185" s="9"/>
    </row>
    <row r="1186" spans="2:19" x14ac:dyDescent="0.2">
      <c r="B1186" s="61" t="str">
        <f>IF(F1186&lt;&gt;"",1+MAX($B$21:B1185),"")</f>
        <v/>
      </c>
      <c r="C1186" s="196"/>
      <c r="D1186" s="75" t="s">
        <v>984</v>
      </c>
      <c r="E1186" s="14"/>
      <c r="F1186" s="19"/>
      <c r="G1186" s="48"/>
      <c r="H1186" s="48">
        <f t="shared" si="377"/>
        <v>0</v>
      </c>
      <c r="I1186" s="48">
        <f t="shared" si="378"/>
        <v>0</v>
      </c>
      <c r="J1186" s="49"/>
      <c r="K1186" s="50">
        <f t="shared" si="379"/>
        <v>0</v>
      </c>
      <c r="L1186" s="50"/>
      <c r="M1186" s="48"/>
      <c r="N1186" s="48">
        <f t="shared" si="380"/>
        <v>0</v>
      </c>
      <c r="O1186" s="48">
        <f t="shared" si="371"/>
        <v>0</v>
      </c>
      <c r="P1186" s="48">
        <f t="shared" si="372"/>
        <v>0</v>
      </c>
      <c r="Q1186" s="48">
        <f t="shared" si="373"/>
        <v>0</v>
      </c>
      <c r="R1186" s="41">
        <f t="shared" si="374"/>
        <v>0</v>
      </c>
      <c r="S1186" s="9"/>
    </row>
    <row r="1187" spans="2:19" x14ac:dyDescent="0.2">
      <c r="B1187" s="61">
        <f>IF(F1187&lt;&gt;"",1+MAX($B$21:B1186),"")</f>
        <v>705</v>
      </c>
      <c r="C1187" s="196"/>
      <c r="D1187" s="73" t="s">
        <v>985</v>
      </c>
      <c r="E1187" s="14" t="s">
        <v>72</v>
      </c>
      <c r="F1187" s="19">
        <v>2500</v>
      </c>
      <c r="G1187" s="12">
        <v>0.96</v>
      </c>
      <c r="H1187" s="12">
        <f t="shared" si="377"/>
        <v>0.91391999999999995</v>
      </c>
      <c r="I1187" s="12">
        <f t="shared" si="378"/>
        <v>2284.7999999999997</v>
      </c>
      <c r="J1187" s="11">
        <v>0.01</v>
      </c>
      <c r="K1187" s="7">
        <f t="shared" si="379"/>
        <v>25</v>
      </c>
      <c r="L1187" s="28" t="s">
        <v>1045</v>
      </c>
      <c r="M1187" s="29">
        <v>42.1</v>
      </c>
      <c r="N1187" s="48">
        <f t="shared" si="380"/>
        <v>30.775100000000002</v>
      </c>
      <c r="O1187" s="48">
        <f t="shared" si="371"/>
        <v>0.30775100000000005</v>
      </c>
      <c r="P1187" s="48">
        <f t="shared" si="372"/>
        <v>769.37750000000017</v>
      </c>
      <c r="Q1187" s="48">
        <f t="shared" si="373"/>
        <v>3054.1774999999998</v>
      </c>
      <c r="R1187" s="41">
        <f t="shared" si="374"/>
        <v>4288.3964125000002</v>
      </c>
      <c r="S1187" s="9"/>
    </row>
    <row r="1188" spans="2:19" x14ac:dyDescent="0.2">
      <c r="B1188" s="61">
        <f>IF(F1188&lt;&gt;"",1+MAX($B$21:B1187),"")</f>
        <v>706</v>
      </c>
      <c r="C1188" s="197"/>
      <c r="D1188" s="73" t="s">
        <v>986</v>
      </c>
      <c r="E1188" s="14" t="s">
        <v>72</v>
      </c>
      <c r="F1188" s="19">
        <v>11500</v>
      </c>
      <c r="G1188" s="12">
        <f>223/100</f>
        <v>2.23</v>
      </c>
      <c r="H1188" s="12">
        <f t="shared" si="377"/>
        <v>2.12296</v>
      </c>
      <c r="I1188" s="12">
        <f t="shared" ref="I1188" si="382">F1188*H1188</f>
        <v>24414.04</v>
      </c>
      <c r="J1188" s="11">
        <v>1.7999999999999999E-2</v>
      </c>
      <c r="K1188" s="7">
        <f t="shared" ref="K1188" si="383">F1188*J1188</f>
        <v>206.99999999999997</v>
      </c>
      <c r="L1188" s="28" t="s">
        <v>1097</v>
      </c>
      <c r="M1188" s="29">
        <v>48.72</v>
      </c>
      <c r="N1188" s="48">
        <f t="shared" si="380"/>
        <v>35.614319999999999</v>
      </c>
      <c r="O1188" s="48">
        <f t="shared" ref="O1188" si="384">J1188*N1188</f>
        <v>0.64105775999999992</v>
      </c>
      <c r="P1188" s="48">
        <f t="shared" si="372"/>
        <v>7372.1642399999992</v>
      </c>
      <c r="Q1188" s="48">
        <f t="shared" si="373"/>
        <v>31786.204239999999</v>
      </c>
      <c r="R1188" s="41">
        <f t="shared" si="374"/>
        <v>44611.843826479992</v>
      </c>
      <c r="S1188" s="9"/>
    </row>
    <row r="1189" spans="2:19" x14ac:dyDescent="0.2">
      <c r="B1189" s="61" t="str">
        <f>IF(F1189&lt;&gt;"",1+MAX($B$21:B1188),"")</f>
        <v/>
      </c>
      <c r="C1189" s="66"/>
      <c r="D1189" s="73"/>
      <c r="E1189" s="14"/>
      <c r="F1189" s="19"/>
      <c r="G1189" s="48"/>
      <c r="H1189" s="48">
        <f t="shared" si="377"/>
        <v>0</v>
      </c>
      <c r="I1189" s="48">
        <f t="shared" si="378"/>
        <v>0</v>
      </c>
      <c r="J1189" s="49"/>
      <c r="K1189" s="50">
        <f t="shared" si="379"/>
        <v>0</v>
      </c>
      <c r="L1189" s="50"/>
      <c r="M1189" s="48"/>
      <c r="N1189" s="48">
        <f t="shared" si="380"/>
        <v>0</v>
      </c>
      <c r="O1189" s="48">
        <f t="shared" si="371"/>
        <v>0</v>
      </c>
      <c r="P1189" s="48">
        <f t="shared" si="372"/>
        <v>0</v>
      </c>
      <c r="Q1189" s="48">
        <f t="shared" si="373"/>
        <v>0</v>
      </c>
      <c r="R1189" s="41">
        <f t="shared" si="374"/>
        <v>0</v>
      </c>
      <c r="S1189" s="9"/>
    </row>
    <row r="1190" spans="2:19" x14ac:dyDescent="0.2">
      <c r="B1190" s="62" t="str">
        <f>IF(F1190&lt;&gt;"",1+MAX($B$21:B1189),"")</f>
        <v/>
      </c>
      <c r="C1190" s="68"/>
      <c r="D1190" s="74" t="s">
        <v>987</v>
      </c>
      <c r="E1190" s="14"/>
      <c r="F1190" s="19"/>
      <c r="G1190" s="48"/>
      <c r="H1190" s="48">
        <f t="shared" si="377"/>
        <v>0</v>
      </c>
      <c r="I1190" s="48">
        <f t="shared" si="378"/>
        <v>0</v>
      </c>
      <c r="J1190" s="49"/>
      <c r="K1190" s="50">
        <f t="shared" si="379"/>
        <v>0</v>
      </c>
      <c r="L1190" s="50"/>
      <c r="M1190" s="48"/>
      <c r="N1190" s="48">
        <f t="shared" si="380"/>
        <v>0</v>
      </c>
      <c r="O1190" s="48">
        <f t="shared" si="371"/>
        <v>0</v>
      </c>
      <c r="P1190" s="48">
        <f t="shared" si="372"/>
        <v>0</v>
      </c>
      <c r="Q1190" s="48">
        <f t="shared" si="373"/>
        <v>0</v>
      </c>
      <c r="R1190" s="41">
        <f t="shared" si="374"/>
        <v>0</v>
      </c>
    </row>
    <row r="1191" spans="2:19" x14ac:dyDescent="0.2">
      <c r="B1191" s="61">
        <f>IF(F1191&lt;&gt;"",1+MAX($B$21:B1190),"")</f>
        <v>707</v>
      </c>
      <c r="C1191" s="67" t="s">
        <v>988</v>
      </c>
      <c r="D1191" s="73" t="s">
        <v>1044</v>
      </c>
      <c r="E1191" s="14" t="s">
        <v>79</v>
      </c>
      <c r="F1191" s="19">
        <v>1</v>
      </c>
      <c r="G1191" s="205"/>
      <c r="H1191" s="205">
        <f t="shared" si="377"/>
        <v>0</v>
      </c>
      <c r="I1191" s="205">
        <f t="shared" si="378"/>
        <v>0</v>
      </c>
      <c r="J1191" s="206"/>
      <c r="K1191" s="207">
        <f t="shared" si="379"/>
        <v>0</v>
      </c>
      <c r="L1191" s="207"/>
      <c r="M1191" s="205"/>
      <c r="N1191" s="205">
        <f t="shared" si="380"/>
        <v>0</v>
      </c>
      <c r="O1191" s="205">
        <f t="shared" si="371"/>
        <v>0</v>
      </c>
      <c r="P1191" s="205">
        <f t="shared" si="372"/>
        <v>0</v>
      </c>
      <c r="Q1191" s="205">
        <f t="shared" si="373"/>
        <v>0</v>
      </c>
      <c r="R1191" s="41">
        <f t="shared" si="374"/>
        <v>0</v>
      </c>
      <c r="S1191" s="9"/>
    </row>
    <row r="1192" spans="2:19" x14ac:dyDescent="0.2">
      <c r="B1192" s="61" t="str">
        <f>IF(F1192&lt;&gt;"",1+MAX($B$21:B1191),"")</f>
        <v/>
      </c>
      <c r="C1192" s="67"/>
      <c r="D1192" s="73"/>
      <c r="E1192" s="14"/>
      <c r="F1192" s="19"/>
      <c r="G1192" s="48"/>
      <c r="H1192" s="48">
        <f t="shared" si="377"/>
        <v>0</v>
      </c>
      <c r="I1192" s="48">
        <f t="shared" si="378"/>
        <v>0</v>
      </c>
      <c r="J1192" s="49"/>
      <c r="K1192" s="50">
        <f t="shared" si="379"/>
        <v>0</v>
      </c>
      <c r="L1192" s="50"/>
      <c r="M1192" s="48"/>
      <c r="N1192" s="48">
        <f t="shared" si="380"/>
        <v>0</v>
      </c>
      <c r="O1192" s="48">
        <f t="shared" si="371"/>
        <v>0</v>
      </c>
      <c r="P1192" s="48">
        <f t="shared" si="372"/>
        <v>0</v>
      </c>
      <c r="Q1192" s="48">
        <f t="shared" si="373"/>
        <v>0</v>
      </c>
      <c r="R1192" s="41">
        <f t="shared" si="374"/>
        <v>0</v>
      </c>
      <c r="S1192" s="9"/>
    </row>
    <row r="1193" spans="2:19" x14ac:dyDescent="0.2">
      <c r="B1193" s="62" t="str">
        <f>IF(F1193&lt;&gt;"",1+MAX($B$21:B1192),"")</f>
        <v/>
      </c>
      <c r="C1193" s="68"/>
      <c r="D1193" s="74" t="s">
        <v>989</v>
      </c>
      <c r="E1193" s="14"/>
      <c r="F1193" s="19"/>
      <c r="G1193" s="48"/>
      <c r="H1193" s="48">
        <f t="shared" si="377"/>
        <v>0</v>
      </c>
      <c r="I1193" s="48">
        <f t="shared" si="378"/>
        <v>0</v>
      </c>
      <c r="J1193" s="49"/>
      <c r="K1193" s="50">
        <f t="shared" si="379"/>
        <v>0</v>
      </c>
      <c r="L1193" s="50"/>
      <c r="M1193" s="48"/>
      <c r="N1193" s="48">
        <f t="shared" si="380"/>
        <v>0</v>
      </c>
      <c r="O1193" s="48">
        <f t="shared" si="371"/>
        <v>0</v>
      </c>
      <c r="P1193" s="48">
        <f t="shared" si="372"/>
        <v>0</v>
      </c>
      <c r="Q1193" s="48">
        <f t="shared" si="373"/>
        <v>0</v>
      </c>
      <c r="R1193" s="41">
        <f t="shared" si="374"/>
        <v>0</v>
      </c>
    </row>
    <row r="1194" spans="2:19" ht="25.5" x14ac:dyDescent="0.2">
      <c r="B1194" s="61">
        <f>IF(F1194&lt;&gt;"",1+MAX($B$21:B1193),"")</f>
        <v>708</v>
      </c>
      <c r="C1194" s="198" t="s">
        <v>988</v>
      </c>
      <c r="D1194" s="73" t="s">
        <v>990</v>
      </c>
      <c r="E1194" s="14" t="s">
        <v>72</v>
      </c>
      <c r="F1194" s="19">
        <v>3074</v>
      </c>
      <c r="G1194" s="205"/>
      <c r="H1194" s="205">
        <f t="shared" si="377"/>
        <v>0</v>
      </c>
      <c r="I1194" s="205">
        <f t="shared" si="378"/>
        <v>0</v>
      </c>
      <c r="J1194" s="206"/>
      <c r="K1194" s="207">
        <f t="shared" si="379"/>
        <v>0</v>
      </c>
      <c r="L1194" s="207"/>
      <c r="M1194" s="205"/>
      <c r="N1194" s="205">
        <f t="shared" si="380"/>
        <v>0</v>
      </c>
      <c r="O1194" s="205">
        <f t="shared" si="371"/>
        <v>0</v>
      </c>
      <c r="P1194" s="205">
        <f t="shared" si="372"/>
        <v>0</v>
      </c>
      <c r="Q1194" s="205">
        <f t="shared" si="373"/>
        <v>0</v>
      </c>
      <c r="R1194" s="112">
        <f t="shared" si="374"/>
        <v>0</v>
      </c>
      <c r="S1194" s="9"/>
    </row>
    <row r="1195" spans="2:19" x14ac:dyDescent="0.2">
      <c r="B1195" s="61">
        <f>IF(F1195&lt;&gt;"",1+MAX($B$21:B1194),"")</f>
        <v>709</v>
      </c>
      <c r="C1195" s="196"/>
      <c r="D1195" s="73" t="s">
        <v>991</v>
      </c>
      <c r="E1195" s="14" t="s">
        <v>72</v>
      </c>
      <c r="F1195" s="19">
        <v>3074</v>
      </c>
      <c r="G1195" s="48">
        <v>0.45</v>
      </c>
      <c r="H1195" s="48">
        <f t="shared" si="377"/>
        <v>0.4284</v>
      </c>
      <c r="I1195" s="48">
        <f t="shared" si="378"/>
        <v>1316.9015999999999</v>
      </c>
      <c r="J1195" s="49">
        <v>2E-3</v>
      </c>
      <c r="K1195" s="50">
        <f t="shared" si="379"/>
        <v>6.1479999999999997</v>
      </c>
      <c r="L1195" s="28" t="s">
        <v>1096</v>
      </c>
      <c r="M1195" s="29">
        <v>42.77</v>
      </c>
      <c r="N1195" s="48">
        <f t="shared" si="380"/>
        <v>31.264870000000002</v>
      </c>
      <c r="O1195" s="48">
        <f t="shared" si="371"/>
        <v>6.252974E-2</v>
      </c>
      <c r="P1195" s="48">
        <f t="shared" si="372"/>
        <v>192.21642076000001</v>
      </c>
      <c r="Q1195" s="48">
        <f t="shared" si="373"/>
        <v>1509.11802076</v>
      </c>
      <c r="R1195" s="41">
        <f t="shared" si="374"/>
        <v>2113.2142266645201</v>
      </c>
      <c r="S1195" s="9"/>
    </row>
    <row r="1196" spans="2:19" x14ac:dyDescent="0.2">
      <c r="B1196" s="61">
        <f>IF(F1196&lt;&gt;"",1+MAX($B$21:B1195),"")</f>
        <v>710</v>
      </c>
      <c r="C1196" s="196"/>
      <c r="D1196" s="73" t="s">
        <v>992</v>
      </c>
      <c r="E1196" s="14" t="s">
        <v>74</v>
      </c>
      <c r="F1196" s="19">
        <v>96</v>
      </c>
      <c r="G1196" s="12">
        <v>3.83</v>
      </c>
      <c r="H1196" s="12">
        <f t="shared" si="377"/>
        <v>3.6461600000000001</v>
      </c>
      <c r="I1196" s="12">
        <f t="shared" si="378"/>
        <v>350.03136000000001</v>
      </c>
      <c r="J1196" s="11">
        <v>3.5999999999999997E-2</v>
      </c>
      <c r="K1196" s="7">
        <f t="shared" si="379"/>
        <v>3.4559999999999995</v>
      </c>
      <c r="L1196" s="28" t="s">
        <v>1099</v>
      </c>
      <c r="M1196" s="29">
        <v>47.02</v>
      </c>
      <c r="N1196" s="48">
        <f t="shared" si="380"/>
        <v>34.37162</v>
      </c>
      <c r="O1196" s="48">
        <f t="shared" si="371"/>
        <v>1.2373783199999999</v>
      </c>
      <c r="P1196" s="48">
        <f t="shared" si="372"/>
        <v>118.78831871999999</v>
      </c>
      <c r="Q1196" s="48">
        <f t="shared" si="373"/>
        <v>468.81967872000001</v>
      </c>
      <c r="R1196" s="41">
        <f t="shared" si="374"/>
        <v>658.29472191743992</v>
      </c>
      <c r="S1196" s="9"/>
    </row>
    <row r="1197" spans="2:19" x14ac:dyDescent="0.2">
      <c r="B1197" s="61">
        <f>IF(F1197&lt;&gt;"",1+MAX($B$21:B1196),"")</f>
        <v>711</v>
      </c>
      <c r="C1197" s="197"/>
      <c r="D1197" s="73" t="s">
        <v>993</v>
      </c>
      <c r="E1197" s="14" t="s">
        <v>73</v>
      </c>
      <c r="F1197" s="19">
        <f>3074*5.5/27</f>
        <v>626.18518518518522</v>
      </c>
      <c r="G1197" s="48">
        <v>38.5</v>
      </c>
      <c r="H1197" s="48">
        <f t="shared" si="377"/>
        <v>36.652000000000001</v>
      </c>
      <c r="I1197" s="48">
        <f t="shared" si="378"/>
        <v>22950.939407407408</v>
      </c>
      <c r="J1197" s="11">
        <v>0.90300000000000002</v>
      </c>
      <c r="K1197" s="7">
        <f t="shared" si="379"/>
        <v>565.44522222222224</v>
      </c>
      <c r="L1197" s="28" t="s">
        <v>1045</v>
      </c>
      <c r="M1197" s="29">
        <v>42.1</v>
      </c>
      <c r="N1197" s="48">
        <f t="shared" si="380"/>
        <v>30.775100000000002</v>
      </c>
      <c r="O1197" s="48">
        <f t="shared" si="371"/>
        <v>27.789915300000004</v>
      </c>
      <c r="P1197" s="48">
        <f t="shared" si="372"/>
        <v>17401.633258411115</v>
      </c>
      <c r="Q1197" s="48">
        <f t="shared" si="373"/>
        <v>40352.572665818523</v>
      </c>
      <c r="R1197" s="41">
        <f t="shared" si="374"/>
        <v>56880.822448256367</v>
      </c>
      <c r="S1197" s="9"/>
    </row>
    <row r="1198" spans="2:19" x14ac:dyDescent="0.2">
      <c r="B1198" s="61" t="str">
        <f>IF(F1198&lt;&gt;"",1+MAX($B$21:B1197),"")</f>
        <v/>
      </c>
      <c r="C1198" s="67"/>
      <c r="D1198" s="73"/>
      <c r="E1198" s="14"/>
      <c r="F1198" s="19"/>
      <c r="G1198" s="48"/>
      <c r="H1198" s="48">
        <f t="shared" si="377"/>
        <v>0</v>
      </c>
      <c r="I1198" s="48">
        <f t="shared" si="378"/>
        <v>0</v>
      </c>
      <c r="J1198" s="49"/>
      <c r="K1198" s="50">
        <f t="shared" si="379"/>
        <v>0</v>
      </c>
      <c r="L1198" s="50"/>
      <c r="M1198" s="48"/>
      <c r="N1198" s="48">
        <f t="shared" si="380"/>
        <v>0</v>
      </c>
      <c r="O1198" s="48">
        <f t="shared" si="371"/>
        <v>0</v>
      </c>
      <c r="P1198" s="48">
        <f t="shared" si="372"/>
        <v>0</v>
      </c>
      <c r="Q1198" s="48">
        <f t="shared" si="373"/>
        <v>0</v>
      </c>
      <c r="R1198" s="41">
        <f t="shared" si="374"/>
        <v>0</v>
      </c>
      <c r="S1198" s="9"/>
    </row>
    <row r="1199" spans="2:19" x14ac:dyDescent="0.2">
      <c r="B1199" s="62" t="str">
        <f>IF(F1199&lt;&gt;"",1+MAX($B$21:B1198),"")</f>
        <v/>
      </c>
      <c r="C1199" s="68"/>
      <c r="D1199" s="74" t="s">
        <v>994</v>
      </c>
      <c r="E1199" s="14"/>
      <c r="F1199" s="19"/>
      <c r="G1199" s="48"/>
      <c r="H1199" s="48">
        <f t="shared" si="377"/>
        <v>0</v>
      </c>
      <c r="I1199" s="48">
        <f t="shared" si="378"/>
        <v>0</v>
      </c>
      <c r="J1199" s="49"/>
      <c r="K1199" s="50">
        <f t="shared" si="379"/>
        <v>0</v>
      </c>
      <c r="L1199" s="50"/>
      <c r="M1199" s="48"/>
      <c r="N1199" s="48">
        <f t="shared" si="380"/>
        <v>0</v>
      </c>
      <c r="O1199" s="48">
        <f t="shared" si="371"/>
        <v>0</v>
      </c>
      <c r="P1199" s="48">
        <f t="shared" si="372"/>
        <v>0</v>
      </c>
      <c r="Q1199" s="48">
        <f t="shared" si="373"/>
        <v>0</v>
      </c>
      <c r="R1199" s="41">
        <f t="shared" si="374"/>
        <v>0</v>
      </c>
    </row>
    <row r="1200" spans="2:19" x14ac:dyDescent="0.2">
      <c r="B1200" s="61" t="str">
        <f>IF(F1200&lt;&gt;"",1+MAX($B$21:B1199),"")</f>
        <v/>
      </c>
      <c r="C1200" s="67"/>
      <c r="D1200" s="73"/>
      <c r="E1200" s="14"/>
      <c r="F1200" s="19"/>
      <c r="G1200" s="48"/>
      <c r="H1200" s="48">
        <f t="shared" si="377"/>
        <v>0</v>
      </c>
      <c r="I1200" s="48">
        <f t="shared" si="378"/>
        <v>0</v>
      </c>
      <c r="J1200" s="49"/>
      <c r="K1200" s="50">
        <f t="shared" si="379"/>
        <v>0</v>
      </c>
      <c r="L1200" s="50"/>
      <c r="M1200" s="48"/>
      <c r="N1200" s="48">
        <f t="shared" si="380"/>
        <v>0</v>
      </c>
      <c r="O1200" s="48">
        <f t="shared" si="371"/>
        <v>0</v>
      </c>
      <c r="P1200" s="48">
        <f t="shared" si="372"/>
        <v>0</v>
      </c>
      <c r="Q1200" s="48">
        <f t="shared" si="373"/>
        <v>0</v>
      </c>
      <c r="R1200" s="41">
        <f t="shared" si="374"/>
        <v>0</v>
      </c>
      <c r="S1200" s="9"/>
    </row>
    <row r="1201" spans="2:19" x14ac:dyDescent="0.2">
      <c r="B1201" s="61" t="str">
        <f>IF(F1201&lt;&gt;"",1+MAX($B$21:B1200),"")</f>
        <v/>
      </c>
      <c r="C1201" s="67"/>
      <c r="D1201" s="75" t="s">
        <v>995</v>
      </c>
      <c r="E1201" s="14"/>
      <c r="F1201" s="19"/>
      <c r="G1201" s="48"/>
      <c r="H1201" s="48">
        <f t="shared" si="377"/>
        <v>0</v>
      </c>
      <c r="I1201" s="48">
        <f t="shared" si="378"/>
        <v>0</v>
      </c>
      <c r="J1201" s="49"/>
      <c r="K1201" s="50">
        <f t="shared" si="379"/>
        <v>0</v>
      </c>
      <c r="L1201" s="50"/>
      <c r="M1201" s="48"/>
      <c r="N1201" s="48">
        <f t="shared" si="380"/>
        <v>0</v>
      </c>
      <c r="O1201" s="48">
        <f t="shared" si="371"/>
        <v>0</v>
      </c>
      <c r="P1201" s="48">
        <f t="shared" si="372"/>
        <v>0</v>
      </c>
      <c r="Q1201" s="48">
        <f t="shared" si="373"/>
        <v>0</v>
      </c>
      <c r="R1201" s="41">
        <f t="shared" si="374"/>
        <v>0</v>
      </c>
      <c r="S1201" s="9"/>
    </row>
    <row r="1202" spans="2:19" ht="25.5" x14ac:dyDescent="0.2">
      <c r="B1202" s="61">
        <f>IF(F1202&lt;&gt;"",1+MAX($B$21:B1201),"")</f>
        <v>712</v>
      </c>
      <c r="C1202" s="198" t="s">
        <v>996</v>
      </c>
      <c r="D1202" s="73" t="s">
        <v>997</v>
      </c>
      <c r="E1202" s="14" t="s">
        <v>72</v>
      </c>
      <c r="F1202" s="19">
        <v>62</v>
      </c>
      <c r="G1202" s="12">
        <v>34.5</v>
      </c>
      <c r="H1202" s="12">
        <f t="shared" si="377"/>
        <v>32.844000000000001</v>
      </c>
      <c r="I1202" s="12">
        <f t="shared" si="378"/>
        <v>2036.328</v>
      </c>
      <c r="J1202" s="11">
        <v>0.32</v>
      </c>
      <c r="K1202" s="7">
        <f t="shared" si="379"/>
        <v>19.84</v>
      </c>
      <c r="L1202" s="28" t="s">
        <v>1100</v>
      </c>
      <c r="M1202" s="29">
        <v>89.03</v>
      </c>
      <c r="N1202" s="48">
        <f t="shared" si="380"/>
        <v>65.080929999999995</v>
      </c>
      <c r="O1202" s="48">
        <f t="shared" si="371"/>
        <v>20.825897599999998</v>
      </c>
      <c r="P1202" s="48">
        <f t="shared" si="372"/>
        <v>1291.2056511999999</v>
      </c>
      <c r="Q1202" s="48">
        <f t="shared" si="373"/>
        <v>3327.5336511999999</v>
      </c>
      <c r="R1202" s="41">
        <f t="shared" si="374"/>
        <v>4686.0788834623991</v>
      </c>
      <c r="S1202" s="9"/>
    </row>
    <row r="1203" spans="2:19" x14ac:dyDescent="0.2">
      <c r="B1203" s="61" t="str">
        <f>IF(F1203&lt;&gt;"",1+MAX($B$21:B1202),"")</f>
        <v/>
      </c>
      <c r="C1203" s="196"/>
      <c r="D1203" s="73"/>
      <c r="E1203" s="14"/>
      <c r="F1203" s="19"/>
      <c r="G1203" s="48"/>
      <c r="H1203" s="48">
        <f t="shared" si="377"/>
        <v>0</v>
      </c>
      <c r="I1203" s="48">
        <f t="shared" si="378"/>
        <v>0</v>
      </c>
      <c r="J1203" s="49"/>
      <c r="K1203" s="50">
        <f t="shared" si="379"/>
        <v>0</v>
      </c>
      <c r="L1203" s="50"/>
      <c r="M1203" s="48"/>
      <c r="N1203" s="48">
        <f t="shared" si="380"/>
        <v>0</v>
      </c>
      <c r="O1203" s="48">
        <f t="shared" si="371"/>
        <v>0</v>
      </c>
      <c r="P1203" s="48">
        <f t="shared" si="372"/>
        <v>0</v>
      </c>
      <c r="Q1203" s="48">
        <f t="shared" si="373"/>
        <v>0</v>
      </c>
      <c r="R1203" s="41">
        <f t="shared" si="374"/>
        <v>0</v>
      </c>
      <c r="S1203" s="9"/>
    </row>
    <row r="1204" spans="2:19" x14ac:dyDescent="0.2">
      <c r="B1204" s="61" t="str">
        <f>IF(F1204&lt;&gt;"",1+MAX($B$21:B1203),"")</f>
        <v/>
      </c>
      <c r="C1204" s="196"/>
      <c r="D1204" s="75" t="s">
        <v>938</v>
      </c>
      <c r="E1204" s="14"/>
      <c r="F1204" s="137"/>
      <c r="G1204" s="48"/>
      <c r="H1204" s="48">
        <f t="shared" si="377"/>
        <v>0</v>
      </c>
      <c r="I1204" s="48">
        <f t="shared" si="378"/>
        <v>0</v>
      </c>
      <c r="J1204" s="49"/>
      <c r="K1204" s="50">
        <f t="shared" si="379"/>
        <v>0</v>
      </c>
      <c r="L1204" s="50"/>
      <c r="M1204" s="48"/>
      <c r="N1204" s="48">
        <f t="shared" si="380"/>
        <v>0</v>
      </c>
      <c r="O1204" s="48">
        <f t="shared" si="371"/>
        <v>0</v>
      </c>
      <c r="P1204" s="48">
        <f t="shared" si="372"/>
        <v>0</v>
      </c>
      <c r="Q1204" s="48">
        <f t="shared" si="373"/>
        <v>0</v>
      </c>
      <c r="R1204" s="41">
        <f t="shared" si="374"/>
        <v>0</v>
      </c>
      <c r="S1204" s="9"/>
    </row>
    <row r="1205" spans="2:19" x14ac:dyDescent="0.2">
      <c r="B1205" s="61">
        <f>IF(F1205&lt;&gt;"",1+MAX($B$21:B1204),"")</f>
        <v>713</v>
      </c>
      <c r="C1205" s="196"/>
      <c r="D1205" s="73" t="s">
        <v>998</v>
      </c>
      <c r="E1205" s="14" t="s">
        <v>79</v>
      </c>
      <c r="F1205" s="19">
        <v>8</v>
      </c>
      <c r="G1205" s="48">
        <v>470</v>
      </c>
      <c r="H1205" s="48">
        <f t="shared" si="377"/>
        <v>447.44</v>
      </c>
      <c r="I1205" s="48">
        <f t="shared" si="378"/>
        <v>3579.52</v>
      </c>
      <c r="J1205" s="11">
        <v>3.258</v>
      </c>
      <c r="K1205" s="7">
        <f t="shared" si="379"/>
        <v>26.064</v>
      </c>
      <c r="L1205" s="28" t="s">
        <v>1092</v>
      </c>
      <c r="M1205" s="29">
        <v>54.64</v>
      </c>
      <c r="N1205" s="48">
        <f t="shared" si="380"/>
        <v>39.941839999999999</v>
      </c>
      <c r="O1205" s="48">
        <f t="shared" si="371"/>
        <v>130.13051472000001</v>
      </c>
      <c r="P1205" s="48">
        <f t="shared" si="372"/>
        <v>1041.0441177600001</v>
      </c>
      <c r="Q1205" s="48">
        <f t="shared" si="373"/>
        <v>4620.56411776</v>
      </c>
      <c r="R1205" s="41">
        <f t="shared" si="374"/>
        <v>6484.0116840435203</v>
      </c>
      <c r="S1205" s="9"/>
    </row>
    <row r="1206" spans="2:19" ht="25.5" x14ac:dyDescent="0.2">
      <c r="B1206" s="61">
        <f>IF(F1206&lt;&gt;"",1+MAX($B$21:B1205),"")</f>
        <v>714</v>
      </c>
      <c r="C1206" s="196"/>
      <c r="D1206" s="73" t="s">
        <v>999</v>
      </c>
      <c r="E1206" s="14" t="s">
        <v>73</v>
      </c>
      <c r="F1206" s="137">
        <f>1.39*4*8/27</f>
        <v>1.6474074074074072</v>
      </c>
      <c r="G1206" s="12">
        <v>304.22000000000003</v>
      </c>
      <c r="H1206" s="12">
        <f t="shared" si="377"/>
        <v>289.61743999999999</v>
      </c>
      <c r="I1206" s="12">
        <f t="shared" si="378"/>
        <v>477.11791597037029</v>
      </c>
      <c r="J1206" s="11">
        <v>6.415</v>
      </c>
      <c r="K1206" s="7">
        <f t="shared" si="379"/>
        <v>10.568118518518517</v>
      </c>
      <c r="L1206" s="28" t="s">
        <v>1050</v>
      </c>
      <c r="M1206" s="29">
        <v>52.21</v>
      </c>
      <c r="N1206" s="48">
        <f t="shared" si="380"/>
        <v>38.165509999999998</v>
      </c>
      <c r="O1206" s="48">
        <f t="shared" si="371"/>
        <v>244.83174664999999</v>
      </c>
      <c r="P1206" s="48">
        <f t="shared" si="372"/>
        <v>403.33763299970366</v>
      </c>
      <c r="Q1206" s="48">
        <f t="shared" si="373"/>
        <v>880.45554897007401</v>
      </c>
      <c r="R1206" s="41">
        <f t="shared" si="374"/>
        <v>1241.8102601516025</v>
      </c>
      <c r="S1206" s="9"/>
    </row>
    <row r="1207" spans="2:19" x14ac:dyDescent="0.2">
      <c r="B1207" s="61">
        <f>IF(F1207&lt;&gt;"",1+MAX($B$21:B1206),"")</f>
        <v>715</v>
      </c>
      <c r="C1207" s="196"/>
      <c r="D1207" s="79" t="s">
        <v>914</v>
      </c>
      <c r="E1207" s="14" t="s">
        <v>73</v>
      </c>
      <c r="F1207" s="137">
        <f t="shared" ref="F1207:F1208" si="385">1.39*4*8/27</f>
        <v>1.6474074074074072</v>
      </c>
      <c r="G1207" s="27"/>
      <c r="H1207" s="27">
        <f t="shared" si="377"/>
        <v>0</v>
      </c>
      <c r="I1207" s="27">
        <f t="shared" si="378"/>
        <v>0</v>
      </c>
      <c r="J1207" s="11">
        <v>1.698</v>
      </c>
      <c r="K1207" s="7">
        <f t="shared" si="379"/>
        <v>2.7972977777777772</v>
      </c>
      <c r="L1207" s="28" t="s">
        <v>1045</v>
      </c>
      <c r="M1207" s="29">
        <v>42.1</v>
      </c>
      <c r="N1207" s="48">
        <f t="shared" si="380"/>
        <v>30.775100000000002</v>
      </c>
      <c r="O1207" s="48">
        <f t="shared" si="371"/>
        <v>52.2561198</v>
      </c>
      <c r="P1207" s="48">
        <f t="shared" si="372"/>
        <v>86.087118840888877</v>
      </c>
      <c r="Q1207" s="48">
        <f t="shared" si="373"/>
        <v>86.087118840888877</v>
      </c>
      <c r="R1207" s="41">
        <f t="shared" si="374"/>
        <v>122.84631858594842</v>
      </c>
      <c r="S1207" s="9"/>
    </row>
    <row r="1208" spans="2:19" x14ac:dyDescent="0.2">
      <c r="B1208" s="61">
        <f>IF(F1208&lt;&gt;"",1+MAX($B$21:B1207),"")</f>
        <v>716</v>
      </c>
      <c r="C1208" s="196"/>
      <c r="D1208" s="79" t="s">
        <v>915</v>
      </c>
      <c r="E1208" s="14" t="s">
        <v>73</v>
      </c>
      <c r="F1208" s="137">
        <f t="shared" si="385"/>
        <v>1.6474074074074072</v>
      </c>
      <c r="G1208" s="27"/>
      <c r="H1208" s="27">
        <f t="shared" si="377"/>
        <v>0</v>
      </c>
      <c r="I1208" s="27">
        <f t="shared" si="378"/>
        <v>0</v>
      </c>
      <c r="J1208" s="11">
        <v>0.42499999999999999</v>
      </c>
      <c r="K1208" s="7">
        <f t="shared" si="379"/>
        <v>0.70014814814814808</v>
      </c>
      <c r="L1208" s="28" t="s">
        <v>1045</v>
      </c>
      <c r="M1208" s="29">
        <v>42.1</v>
      </c>
      <c r="N1208" s="48">
        <f t="shared" si="380"/>
        <v>30.775100000000002</v>
      </c>
      <c r="O1208" s="48">
        <f t="shared" si="371"/>
        <v>13.0794175</v>
      </c>
      <c r="P1208" s="48">
        <f t="shared" si="372"/>
        <v>21.54712927407407</v>
      </c>
      <c r="Q1208" s="48">
        <f t="shared" si="373"/>
        <v>21.54712927407407</v>
      </c>
      <c r="R1208" s="41">
        <f t="shared" si="374"/>
        <v>30.747753474103696</v>
      </c>
      <c r="S1208" s="9"/>
    </row>
    <row r="1209" spans="2:19" ht="51" x14ac:dyDescent="0.2">
      <c r="B1209" s="61" t="str">
        <f>IF(F1209&lt;&gt;"",1+MAX($B$21:B1208),"")</f>
        <v/>
      </c>
      <c r="C1209" s="196"/>
      <c r="D1209" s="75" t="s">
        <v>1000</v>
      </c>
      <c r="E1209" s="14"/>
      <c r="F1209" s="137"/>
      <c r="G1209" s="48"/>
      <c r="H1209" s="48">
        <f t="shared" si="377"/>
        <v>0</v>
      </c>
      <c r="I1209" s="48">
        <f t="shared" si="378"/>
        <v>0</v>
      </c>
      <c r="J1209" s="49"/>
      <c r="K1209" s="50">
        <f t="shared" si="379"/>
        <v>0</v>
      </c>
      <c r="L1209" s="50"/>
      <c r="M1209" s="48"/>
      <c r="N1209" s="48">
        <f t="shared" si="380"/>
        <v>0</v>
      </c>
      <c r="O1209" s="48">
        <f t="shared" si="371"/>
        <v>0</v>
      </c>
      <c r="P1209" s="48">
        <f t="shared" si="372"/>
        <v>0</v>
      </c>
      <c r="Q1209" s="48">
        <f t="shared" si="373"/>
        <v>0</v>
      </c>
      <c r="R1209" s="41">
        <f t="shared" si="374"/>
        <v>0</v>
      </c>
      <c r="S1209" s="9"/>
    </row>
    <row r="1210" spans="2:19" x14ac:dyDescent="0.2">
      <c r="B1210" s="61" t="str">
        <f>IF(F1210&lt;&gt;"",1+MAX($B$21:B1209),"")</f>
        <v/>
      </c>
      <c r="C1210" s="196"/>
      <c r="D1210" s="75"/>
      <c r="E1210" s="14"/>
      <c r="F1210" s="137"/>
      <c r="G1210" s="48"/>
      <c r="H1210" s="48">
        <f t="shared" si="377"/>
        <v>0</v>
      </c>
      <c r="I1210" s="48">
        <f t="shared" si="378"/>
        <v>0</v>
      </c>
      <c r="J1210" s="49"/>
      <c r="K1210" s="50">
        <f t="shared" si="379"/>
        <v>0</v>
      </c>
      <c r="L1210" s="50"/>
      <c r="M1210" s="48"/>
      <c r="N1210" s="48">
        <f t="shared" si="380"/>
        <v>0</v>
      </c>
      <c r="O1210" s="48">
        <f t="shared" si="371"/>
        <v>0</v>
      </c>
      <c r="P1210" s="48">
        <f t="shared" si="372"/>
        <v>0</v>
      </c>
      <c r="Q1210" s="48">
        <f t="shared" si="373"/>
        <v>0</v>
      </c>
      <c r="R1210" s="41">
        <f t="shared" si="374"/>
        <v>0</v>
      </c>
      <c r="S1210" s="9"/>
    </row>
    <row r="1211" spans="2:19" x14ac:dyDescent="0.2">
      <c r="B1211" s="61" t="str">
        <f>IF(F1211&lt;&gt;"",1+MAX($B$21:B1210),"")</f>
        <v/>
      </c>
      <c r="C1211" s="196"/>
      <c r="D1211" s="75" t="s">
        <v>1001</v>
      </c>
      <c r="E1211" s="14"/>
      <c r="F1211" s="137"/>
      <c r="G1211" s="48"/>
      <c r="H1211" s="48">
        <f t="shared" si="377"/>
        <v>0</v>
      </c>
      <c r="I1211" s="48">
        <f t="shared" si="378"/>
        <v>0</v>
      </c>
      <c r="J1211" s="49"/>
      <c r="K1211" s="50">
        <f t="shared" si="379"/>
        <v>0</v>
      </c>
      <c r="L1211" s="50"/>
      <c r="M1211" s="48"/>
      <c r="N1211" s="48">
        <f t="shared" si="380"/>
        <v>0</v>
      </c>
      <c r="O1211" s="48">
        <f t="shared" si="371"/>
        <v>0</v>
      </c>
      <c r="P1211" s="48">
        <f t="shared" si="372"/>
        <v>0</v>
      </c>
      <c r="Q1211" s="48">
        <f t="shared" si="373"/>
        <v>0</v>
      </c>
      <c r="R1211" s="41">
        <f t="shared" si="374"/>
        <v>0</v>
      </c>
      <c r="S1211" s="9"/>
    </row>
    <row r="1212" spans="2:19" ht="127.5" x14ac:dyDescent="0.2">
      <c r="B1212" s="61">
        <f>IF(F1212&lt;&gt;"",1+MAX($B$21:B1211),"")</f>
        <v>717</v>
      </c>
      <c r="C1212" s="197"/>
      <c r="D1212" s="73" t="s">
        <v>1002</v>
      </c>
      <c r="E1212" s="14" t="s">
        <v>79</v>
      </c>
      <c r="F1212" s="19">
        <v>1</v>
      </c>
      <c r="G1212" s="205"/>
      <c r="H1212" s="205">
        <f t="shared" si="377"/>
        <v>0</v>
      </c>
      <c r="I1212" s="205">
        <f t="shared" si="378"/>
        <v>0</v>
      </c>
      <c r="J1212" s="206"/>
      <c r="K1212" s="207">
        <f t="shared" si="379"/>
        <v>0</v>
      </c>
      <c r="L1212" s="207"/>
      <c r="M1212" s="205"/>
      <c r="N1212" s="205">
        <f t="shared" si="380"/>
        <v>0</v>
      </c>
      <c r="O1212" s="205">
        <f t="shared" si="371"/>
        <v>0</v>
      </c>
      <c r="P1212" s="205">
        <f t="shared" si="372"/>
        <v>0</v>
      </c>
      <c r="Q1212" s="205">
        <f t="shared" si="373"/>
        <v>0</v>
      </c>
      <c r="R1212" s="112">
        <f t="shared" si="374"/>
        <v>0</v>
      </c>
      <c r="S1212" s="9"/>
    </row>
    <row r="1213" spans="2:19" x14ac:dyDescent="0.2">
      <c r="B1213" s="61" t="str">
        <f>IF(F1213&lt;&gt;"",1+MAX($B$21:B1212),"")</f>
        <v/>
      </c>
      <c r="C1213" s="67"/>
      <c r="D1213" s="73"/>
      <c r="E1213" s="14"/>
      <c r="F1213" s="19"/>
      <c r="G1213" s="48"/>
      <c r="H1213" s="48">
        <f t="shared" si="377"/>
        <v>0</v>
      </c>
      <c r="I1213" s="48">
        <f t="shared" si="378"/>
        <v>0</v>
      </c>
      <c r="J1213" s="49"/>
      <c r="K1213" s="50">
        <f t="shared" si="379"/>
        <v>0</v>
      </c>
      <c r="L1213" s="50"/>
      <c r="M1213" s="48"/>
      <c r="N1213" s="48">
        <f t="shared" si="380"/>
        <v>0</v>
      </c>
      <c r="O1213" s="48">
        <f t="shared" si="371"/>
        <v>0</v>
      </c>
      <c r="P1213" s="48">
        <f t="shared" si="372"/>
        <v>0</v>
      </c>
      <c r="Q1213" s="48">
        <f t="shared" si="373"/>
        <v>0</v>
      </c>
      <c r="R1213" s="41">
        <f t="shared" si="374"/>
        <v>0</v>
      </c>
      <c r="S1213" s="9"/>
    </row>
    <row r="1214" spans="2:19" x14ac:dyDescent="0.2">
      <c r="B1214" s="61" t="str">
        <f>IF(F1214&lt;&gt;"",1+MAX($B$21:B1213),"")</f>
        <v/>
      </c>
      <c r="C1214" s="66"/>
      <c r="D1214" s="74" t="s">
        <v>1101</v>
      </c>
      <c r="E1214" s="14"/>
      <c r="F1214" s="19"/>
      <c r="G1214" s="48"/>
      <c r="H1214" s="48">
        <f t="shared" si="377"/>
        <v>0</v>
      </c>
      <c r="I1214" s="48">
        <f t="shared" si="378"/>
        <v>0</v>
      </c>
      <c r="J1214" s="49"/>
      <c r="K1214" s="50">
        <f t="shared" si="379"/>
        <v>0</v>
      </c>
      <c r="L1214" s="50"/>
      <c r="M1214" s="48"/>
      <c r="N1214" s="48">
        <f t="shared" si="380"/>
        <v>0</v>
      </c>
      <c r="O1214" s="48">
        <f t="shared" si="371"/>
        <v>0</v>
      </c>
      <c r="P1214" s="48">
        <f t="shared" si="372"/>
        <v>0</v>
      </c>
      <c r="Q1214" s="48">
        <f t="shared" si="373"/>
        <v>0</v>
      </c>
      <c r="R1214" s="41">
        <f t="shared" si="374"/>
        <v>0</v>
      </c>
    </row>
    <row r="1215" spans="2:19" x14ac:dyDescent="0.2">
      <c r="B1215" s="61" t="str">
        <f>IF(F1215&lt;&gt;"",1+MAX($B$21:B1214),"")</f>
        <v/>
      </c>
      <c r="C1215" s="196"/>
      <c r="D1215" s="73"/>
      <c r="E1215" s="14"/>
      <c r="F1215" s="19"/>
      <c r="G1215" s="48"/>
      <c r="H1215" s="48">
        <f t="shared" ref="H1215:H1220" si="386">G1215*$T$2</f>
        <v>0</v>
      </c>
      <c r="I1215" s="48">
        <f t="shared" ref="I1215:I1220" si="387">F1215*H1215</f>
        <v>0</v>
      </c>
      <c r="J1215" s="49"/>
      <c r="K1215" s="50">
        <f t="shared" ref="K1215:K1220" si="388">F1215*J1215</f>
        <v>0</v>
      </c>
      <c r="L1215" s="50"/>
      <c r="M1215" s="48"/>
      <c r="N1215" s="48">
        <f t="shared" ref="N1215:N1220" si="389">M1215*$U$2</f>
        <v>0</v>
      </c>
      <c r="O1215" s="48">
        <f t="shared" ref="O1215:O1220" si="390">J1215*N1215</f>
        <v>0</v>
      </c>
      <c r="P1215" s="48">
        <f t="shared" ref="P1215:P1220" si="391">F1215*O1215</f>
        <v>0</v>
      </c>
      <c r="Q1215" s="48">
        <f t="shared" ref="Q1215:Q1220" si="392">I1215+P1215</f>
        <v>0</v>
      </c>
      <c r="R1215" s="41">
        <f t="shared" ref="R1215:R1220" si="393">Q1215+(I1215*$Q$7)+(P1215*$Q$8)+(Q1215*$Q$9)+(Q1215*$Q$11)+($Q$10*(Q1215+(I1215*$Q$7)+(P1215*$Q$8)+(Q1215*$Q$9)))</f>
        <v>0</v>
      </c>
      <c r="S1215" s="9"/>
    </row>
    <row r="1216" spans="2:19" x14ac:dyDescent="0.2">
      <c r="B1216" s="61" t="str">
        <f>IF(F1216&lt;&gt;"",1+MAX($B$21:B1215),"")</f>
        <v/>
      </c>
      <c r="C1216" s="196"/>
      <c r="D1216" s="75" t="s">
        <v>912</v>
      </c>
      <c r="E1216" s="14"/>
      <c r="F1216" s="19"/>
      <c r="G1216" s="48"/>
      <c r="H1216" s="48">
        <f t="shared" si="386"/>
        <v>0</v>
      </c>
      <c r="I1216" s="48">
        <f t="shared" si="387"/>
        <v>0</v>
      </c>
      <c r="J1216" s="49"/>
      <c r="K1216" s="50">
        <f t="shared" si="388"/>
        <v>0</v>
      </c>
      <c r="L1216" s="50"/>
      <c r="M1216" s="48"/>
      <c r="N1216" s="48">
        <f t="shared" si="389"/>
        <v>0</v>
      </c>
      <c r="O1216" s="48">
        <f t="shared" si="390"/>
        <v>0</v>
      </c>
      <c r="P1216" s="48">
        <f t="shared" si="391"/>
        <v>0</v>
      </c>
      <c r="Q1216" s="48">
        <f t="shared" si="392"/>
        <v>0</v>
      </c>
      <c r="R1216" s="41">
        <f t="shared" si="393"/>
        <v>0</v>
      </c>
      <c r="S1216" s="9"/>
    </row>
    <row r="1217" spans="2:36" ht="25.5" x14ac:dyDescent="0.2">
      <c r="B1217" s="61">
        <f>IF(F1217&lt;&gt;"",1+MAX($B$21:B1216),"")</f>
        <v>718</v>
      </c>
      <c r="C1217" s="196"/>
      <c r="D1217" s="73" t="s">
        <v>1003</v>
      </c>
      <c r="E1217" s="14" t="s">
        <v>73</v>
      </c>
      <c r="F1217" s="137">
        <f>1.77*8.5*5/27</f>
        <v>2.786111111111111</v>
      </c>
      <c r="G1217" s="12">
        <v>304.22000000000003</v>
      </c>
      <c r="H1217" s="12">
        <f t="shared" si="386"/>
        <v>289.61743999999999</v>
      </c>
      <c r="I1217" s="12">
        <f t="shared" si="387"/>
        <v>806.90636755555545</v>
      </c>
      <c r="J1217" s="11">
        <v>6.415</v>
      </c>
      <c r="K1217" s="7">
        <f t="shared" si="388"/>
        <v>17.872902777777778</v>
      </c>
      <c r="L1217" s="28" t="s">
        <v>1050</v>
      </c>
      <c r="M1217" s="29">
        <v>52.21</v>
      </c>
      <c r="N1217" s="48">
        <f t="shared" si="389"/>
        <v>38.165509999999998</v>
      </c>
      <c r="O1217" s="48">
        <f t="shared" si="390"/>
        <v>244.83174664999999</v>
      </c>
      <c r="P1217" s="48">
        <f t="shared" si="391"/>
        <v>682.12844969430546</v>
      </c>
      <c r="Q1217" s="48">
        <f t="shared" si="392"/>
        <v>1489.0348172498609</v>
      </c>
      <c r="R1217" s="41">
        <f t="shared" si="393"/>
        <v>2100.1613493683512</v>
      </c>
      <c r="S1217" s="9"/>
    </row>
    <row r="1218" spans="2:36" x14ac:dyDescent="0.2">
      <c r="B1218" s="61">
        <f>IF(F1218&lt;&gt;"",1+MAX($B$21:B1217),"")</f>
        <v>719</v>
      </c>
      <c r="C1218" s="196"/>
      <c r="D1218" s="79" t="s">
        <v>914</v>
      </c>
      <c r="E1218" s="14" t="s">
        <v>73</v>
      </c>
      <c r="F1218" s="137">
        <f>1.77*6*5/27</f>
        <v>1.966666666666667</v>
      </c>
      <c r="G1218" s="27"/>
      <c r="H1218" s="27">
        <f t="shared" si="386"/>
        <v>0</v>
      </c>
      <c r="I1218" s="27">
        <f t="shared" si="387"/>
        <v>0</v>
      </c>
      <c r="J1218" s="11">
        <v>1.698</v>
      </c>
      <c r="K1218" s="7">
        <f t="shared" si="388"/>
        <v>3.3394000000000004</v>
      </c>
      <c r="L1218" s="28" t="s">
        <v>1045</v>
      </c>
      <c r="M1218" s="29">
        <v>42.1</v>
      </c>
      <c r="N1218" s="48">
        <f t="shared" si="389"/>
        <v>30.775100000000002</v>
      </c>
      <c r="O1218" s="48">
        <f t="shared" si="390"/>
        <v>52.2561198</v>
      </c>
      <c r="P1218" s="48">
        <f t="shared" si="391"/>
        <v>102.77036894000003</v>
      </c>
      <c r="Q1218" s="48">
        <f t="shared" si="392"/>
        <v>102.77036894000003</v>
      </c>
      <c r="R1218" s="41">
        <f t="shared" si="393"/>
        <v>146.65331647738003</v>
      </c>
      <c r="S1218" s="9"/>
    </row>
    <row r="1219" spans="2:36" x14ac:dyDescent="0.2">
      <c r="B1219" s="61">
        <f>IF(F1219&lt;&gt;"",1+MAX($B$21:B1218),"")</f>
        <v>720</v>
      </c>
      <c r="C1219" s="197"/>
      <c r="D1219" s="79" t="s">
        <v>915</v>
      </c>
      <c r="E1219" s="14" t="s">
        <v>73</v>
      </c>
      <c r="F1219" s="137">
        <f>1.77*6*5/27</f>
        <v>1.966666666666667</v>
      </c>
      <c r="G1219" s="27"/>
      <c r="H1219" s="27">
        <f t="shared" si="386"/>
        <v>0</v>
      </c>
      <c r="I1219" s="27">
        <f t="shared" si="387"/>
        <v>0</v>
      </c>
      <c r="J1219" s="11">
        <v>0.42499999999999999</v>
      </c>
      <c r="K1219" s="7">
        <f t="shared" si="388"/>
        <v>0.83583333333333343</v>
      </c>
      <c r="L1219" s="28" t="s">
        <v>1045</v>
      </c>
      <c r="M1219" s="29">
        <v>42.1</v>
      </c>
      <c r="N1219" s="48">
        <f t="shared" si="389"/>
        <v>30.775100000000002</v>
      </c>
      <c r="O1219" s="48">
        <f t="shared" si="390"/>
        <v>13.0794175</v>
      </c>
      <c r="P1219" s="48">
        <f t="shared" si="391"/>
        <v>25.722854416666671</v>
      </c>
      <c r="Q1219" s="48">
        <f t="shared" si="392"/>
        <v>25.722854416666671</v>
      </c>
      <c r="R1219" s="41">
        <f t="shared" si="393"/>
        <v>36.706513252583335</v>
      </c>
      <c r="S1219" s="9"/>
    </row>
    <row r="1220" spans="2:36" ht="13.5" thickBot="1" x14ac:dyDescent="0.25">
      <c r="B1220" s="64" t="str">
        <f>IF(F1220&lt;&gt;"",1+MAX($B$21:B1219),"")</f>
        <v/>
      </c>
      <c r="C1220" s="71"/>
      <c r="D1220" s="81"/>
      <c r="E1220" s="43"/>
      <c r="F1220" s="44"/>
      <c r="G1220" s="48"/>
      <c r="H1220" s="48">
        <f t="shared" si="386"/>
        <v>0</v>
      </c>
      <c r="I1220" s="48">
        <f t="shared" si="387"/>
        <v>0</v>
      </c>
      <c r="J1220" s="49"/>
      <c r="K1220" s="50">
        <f t="shared" si="388"/>
        <v>0</v>
      </c>
      <c r="L1220" s="50"/>
      <c r="M1220" s="48"/>
      <c r="N1220" s="48">
        <f t="shared" si="389"/>
        <v>0</v>
      </c>
      <c r="O1220" s="48">
        <f t="shared" si="390"/>
        <v>0</v>
      </c>
      <c r="P1220" s="48">
        <f t="shared" si="391"/>
        <v>0</v>
      </c>
      <c r="Q1220" s="48">
        <f t="shared" si="392"/>
        <v>0</v>
      </c>
      <c r="R1220" s="41">
        <f t="shared" si="393"/>
        <v>0</v>
      </c>
      <c r="S1220" s="9"/>
    </row>
    <row r="1221" spans="2:36" s="9" customFormat="1" ht="26.25" thickBot="1" x14ac:dyDescent="0.25">
      <c r="B1221" s="59" t="str">
        <f>IF(F1221&lt;&gt;"",1+MAX($B$21:B1032),"")</f>
        <v/>
      </c>
      <c r="C1221" s="65" t="s">
        <v>1004</v>
      </c>
      <c r="D1221" s="72" t="s">
        <v>1005</v>
      </c>
      <c r="E1221" s="51"/>
      <c r="F1221" s="51"/>
      <c r="G1221" s="51"/>
      <c r="H1221" s="52" t="s">
        <v>61</v>
      </c>
      <c r="I1221" s="53">
        <f>SUM(I1222:I1258)</f>
        <v>50934.015003199995</v>
      </c>
      <c r="J1221" s="54"/>
      <c r="K1221" s="55" t="str">
        <f>ROUND(SUM(K1222:K1258),0) &amp; " " &amp; "HRS"</f>
        <v>1612 HRS</v>
      </c>
      <c r="L1221" s="56"/>
      <c r="M1221" s="56"/>
      <c r="N1221" s="56"/>
      <c r="O1221" s="52" t="s">
        <v>62</v>
      </c>
      <c r="P1221" s="53">
        <f>SUM(P1222:P1258)</f>
        <v>53652.853924222196</v>
      </c>
      <c r="Q1221" s="57">
        <f>SUM(Q1222:Q1258)</f>
        <v>104586.86892742218</v>
      </c>
      <c r="R1221" s="58">
        <f>(Q1221)+(I1221*$Q$7)+(P1221*$Q$8)+(Q1221*$Q$9)+($Q$10*((Q1221)+(I1221*$Q$7)+(P1221*$Q$8)+(Q1221*$Q$9)))+(Q1221*$Q$11)</f>
        <v>147686.88110033353</v>
      </c>
      <c r="T1221" s="8"/>
      <c r="U1221" s="8"/>
      <c r="V1221" s="8"/>
      <c r="W1221" s="8"/>
      <c r="X1221" s="8"/>
      <c r="Y1221" s="8"/>
      <c r="Z1221" s="8"/>
      <c r="AA1221" s="8"/>
      <c r="AB1221" s="8"/>
      <c r="AC1221" s="8"/>
      <c r="AD1221" s="8"/>
      <c r="AE1221" s="8"/>
      <c r="AF1221" s="8"/>
      <c r="AG1221" s="8"/>
      <c r="AH1221" s="8"/>
      <c r="AI1221" s="8"/>
      <c r="AJ1221" s="8"/>
    </row>
    <row r="1222" spans="2:36" x14ac:dyDescent="0.2">
      <c r="B1222" s="61" t="str">
        <f>IF(F1222&lt;&gt;"",1+MAX($B$21:B1221),"")</f>
        <v/>
      </c>
      <c r="C1222" s="67"/>
      <c r="D1222" s="73"/>
      <c r="E1222" s="14"/>
      <c r="F1222" s="19"/>
      <c r="G1222" s="48"/>
      <c r="H1222" s="48">
        <f t="shared" ref="H1222:H1258" si="394">G1222*$T$2</f>
        <v>0</v>
      </c>
      <c r="I1222" s="48">
        <f t="shared" ref="I1222:I1258" si="395">F1222*H1222</f>
        <v>0</v>
      </c>
      <c r="J1222" s="49"/>
      <c r="K1222" s="50">
        <f t="shared" ref="K1222:K1258" si="396">F1222*J1222</f>
        <v>0</v>
      </c>
      <c r="L1222" s="50"/>
      <c r="M1222" s="48"/>
      <c r="N1222" s="48">
        <f t="shared" ref="N1222:N1258" si="397">M1222*$U$2</f>
        <v>0</v>
      </c>
      <c r="O1222" s="48">
        <f t="shared" ref="O1222:O1258" si="398">J1222*N1222</f>
        <v>0</v>
      </c>
      <c r="P1222" s="48">
        <f t="shared" ref="P1222:P1258" si="399">F1222*O1222</f>
        <v>0</v>
      </c>
      <c r="Q1222" s="48">
        <f t="shared" ref="Q1222:Q1258" si="400">I1222+P1222</f>
        <v>0</v>
      </c>
      <c r="R1222" s="41">
        <f t="shared" ref="R1222:R1258" si="401">Q1222+(I1222*$Q$7)+(P1222*$Q$8)+(Q1222*$Q$9)+(Q1222*$Q$11)+($Q$10*(Q1222+(I1222*$Q$7)+(P1222*$Q$8)+(Q1222*$Q$9)))</f>
        <v>0</v>
      </c>
      <c r="S1222" s="9"/>
    </row>
    <row r="1223" spans="2:36" x14ac:dyDescent="0.2">
      <c r="B1223" s="62" t="str">
        <f>IF(F1223&lt;&gt;"",1+MAX($B$21:B1222),"")</f>
        <v/>
      </c>
      <c r="C1223" s="68"/>
      <c r="D1223" s="74" t="s">
        <v>1006</v>
      </c>
      <c r="E1223" s="14"/>
      <c r="F1223" s="19"/>
      <c r="G1223" s="48"/>
      <c r="H1223" s="48">
        <f t="shared" si="394"/>
        <v>0</v>
      </c>
      <c r="I1223" s="48">
        <f t="shared" si="395"/>
        <v>0</v>
      </c>
      <c r="J1223" s="49"/>
      <c r="K1223" s="50">
        <f t="shared" si="396"/>
        <v>0</v>
      </c>
      <c r="L1223" s="50"/>
      <c r="M1223" s="48"/>
      <c r="N1223" s="48">
        <f t="shared" si="397"/>
        <v>0</v>
      </c>
      <c r="O1223" s="48">
        <f t="shared" si="398"/>
        <v>0</v>
      </c>
      <c r="P1223" s="48">
        <f t="shared" si="399"/>
        <v>0</v>
      </c>
      <c r="Q1223" s="48">
        <f t="shared" si="400"/>
        <v>0</v>
      </c>
      <c r="R1223" s="41">
        <f t="shared" si="401"/>
        <v>0</v>
      </c>
    </row>
    <row r="1224" spans="2:36" x14ac:dyDescent="0.2">
      <c r="B1224" s="61">
        <f>IF(F1224&lt;&gt;"",1+MAX($B$21:B1223),"")</f>
        <v>721</v>
      </c>
      <c r="C1224" s="198" t="s">
        <v>1007</v>
      </c>
      <c r="D1224" s="73" t="s">
        <v>1008</v>
      </c>
      <c r="E1224" s="14" t="s">
        <v>74</v>
      </c>
      <c r="F1224" s="23">
        <v>25.11</v>
      </c>
      <c r="G1224" s="12">
        <v>38.5</v>
      </c>
      <c r="H1224" s="12">
        <f t="shared" si="394"/>
        <v>36.652000000000001</v>
      </c>
      <c r="I1224" s="12">
        <f t="shared" si="395"/>
        <v>920.33172000000002</v>
      </c>
      <c r="J1224" s="11">
        <v>0.32</v>
      </c>
      <c r="K1224" s="7">
        <f t="shared" si="396"/>
        <v>8.0351999999999997</v>
      </c>
      <c r="L1224" s="28" t="s">
        <v>1102</v>
      </c>
      <c r="M1224" s="29">
        <v>48.7</v>
      </c>
      <c r="N1224" s="48">
        <f t="shared" si="397"/>
        <v>35.599699999999999</v>
      </c>
      <c r="O1224" s="48">
        <f t="shared" si="398"/>
        <v>11.391904</v>
      </c>
      <c r="P1224" s="48">
        <f t="shared" si="399"/>
        <v>286.05070943999999</v>
      </c>
      <c r="Q1224" s="48">
        <f t="shared" si="400"/>
        <v>1206.3824294400001</v>
      </c>
      <c r="R1224" s="41">
        <f t="shared" si="401"/>
        <v>1693.3455761788803</v>
      </c>
    </row>
    <row r="1225" spans="2:36" x14ac:dyDescent="0.2">
      <c r="B1225" s="61">
        <f>IF(F1225&lt;&gt;"",1+MAX($B$21:B1224),"")</f>
        <v>722</v>
      </c>
      <c r="C1225" s="196"/>
      <c r="D1225" s="73" t="s">
        <v>1009</v>
      </c>
      <c r="E1225" s="35" t="s">
        <v>74</v>
      </c>
      <c r="F1225" s="23">
        <f>17.69+45.97+92.25+85.26+70.17+21.08</f>
        <v>332.42</v>
      </c>
      <c r="G1225" s="12">
        <v>44.5</v>
      </c>
      <c r="H1225" s="12">
        <f t="shared" si="394"/>
        <v>42.363999999999997</v>
      </c>
      <c r="I1225" s="12">
        <f t="shared" si="395"/>
        <v>14082.640879999999</v>
      </c>
      <c r="J1225" s="11">
        <v>0.36399999999999999</v>
      </c>
      <c r="K1225" s="7">
        <f t="shared" si="396"/>
        <v>121.00088000000001</v>
      </c>
      <c r="L1225" s="28" t="s">
        <v>1102</v>
      </c>
      <c r="M1225" s="29">
        <v>48.7</v>
      </c>
      <c r="N1225" s="48">
        <f t="shared" si="397"/>
        <v>35.599699999999999</v>
      </c>
      <c r="O1225" s="48">
        <f t="shared" si="398"/>
        <v>12.958290799999999</v>
      </c>
      <c r="P1225" s="48">
        <f t="shared" si="399"/>
        <v>4307.5950277359998</v>
      </c>
      <c r="Q1225" s="48">
        <f t="shared" si="400"/>
        <v>18390.235907735998</v>
      </c>
      <c r="R1225" s="41">
        <f t="shared" si="401"/>
        <v>25811.937829411268</v>
      </c>
    </row>
    <row r="1226" spans="2:36" x14ac:dyDescent="0.2">
      <c r="B1226" s="61">
        <f>IF(F1226&lt;&gt;"",1+MAX($B$21:B1225),"")</f>
        <v>723</v>
      </c>
      <c r="C1226" s="196"/>
      <c r="D1226" s="73" t="s">
        <v>1010</v>
      </c>
      <c r="E1226" s="14" t="s">
        <v>74</v>
      </c>
      <c r="F1226" s="23">
        <f>49.92+92.03+14.14+90.7+14.14+23.03+12</f>
        <v>295.95999999999992</v>
      </c>
      <c r="G1226" s="12">
        <v>24.5</v>
      </c>
      <c r="H1226" s="12">
        <f t="shared" si="394"/>
        <v>23.323999999999998</v>
      </c>
      <c r="I1226" s="12">
        <f t="shared" si="395"/>
        <v>6902.9710399999976</v>
      </c>
      <c r="J1226" s="11">
        <v>0.41</v>
      </c>
      <c r="K1226" s="7">
        <f t="shared" si="396"/>
        <v>121.34359999999997</v>
      </c>
      <c r="L1226" s="28" t="s">
        <v>1074</v>
      </c>
      <c r="M1226" s="29">
        <v>58</v>
      </c>
      <c r="N1226" s="48">
        <f t="shared" si="397"/>
        <v>42.397999999999996</v>
      </c>
      <c r="O1226" s="48">
        <f t="shared" si="398"/>
        <v>17.383179999999996</v>
      </c>
      <c r="P1226" s="48">
        <f t="shared" si="399"/>
        <v>5144.7259527999977</v>
      </c>
      <c r="Q1226" s="48">
        <f t="shared" si="400"/>
        <v>12047.696992799996</v>
      </c>
      <c r="R1226" s="41">
        <f t="shared" si="401"/>
        <v>16980.832694901594</v>
      </c>
    </row>
    <row r="1227" spans="2:36" ht="25.5" x14ac:dyDescent="0.2">
      <c r="B1227" s="61">
        <f>IF(F1227&lt;&gt;"",1+MAX($B$21:B1226),"")</f>
        <v>724</v>
      </c>
      <c r="C1227" s="196"/>
      <c r="D1227" s="73" t="s">
        <v>1011</v>
      </c>
      <c r="E1227" s="35" t="s">
        <v>74</v>
      </c>
      <c r="F1227" s="23">
        <v>152</v>
      </c>
      <c r="G1227" s="12">
        <v>11.85</v>
      </c>
      <c r="H1227" s="12">
        <f t="shared" si="394"/>
        <v>11.281199999999998</v>
      </c>
      <c r="I1227" s="12">
        <f t="shared" si="395"/>
        <v>1714.7423999999996</v>
      </c>
      <c r="J1227" s="11">
        <v>0.28799999999999998</v>
      </c>
      <c r="K1227" s="7">
        <f t="shared" si="396"/>
        <v>43.775999999999996</v>
      </c>
      <c r="L1227" s="28" t="s">
        <v>1077</v>
      </c>
      <c r="M1227" s="29">
        <v>50.55</v>
      </c>
      <c r="N1227" s="48">
        <f t="shared" si="397"/>
        <v>36.95205</v>
      </c>
      <c r="O1227" s="48">
        <f t="shared" si="398"/>
        <v>10.642190399999999</v>
      </c>
      <c r="P1227" s="48">
        <f t="shared" si="399"/>
        <v>1617.6129407999997</v>
      </c>
      <c r="Q1227" s="48">
        <f t="shared" si="400"/>
        <v>3332.3553407999993</v>
      </c>
      <c r="R1227" s="41">
        <f t="shared" si="401"/>
        <v>4702.7999538815993</v>
      </c>
    </row>
    <row r="1228" spans="2:36" x14ac:dyDescent="0.2">
      <c r="B1228" s="61">
        <f>IF(F1228&lt;&gt;"",1+MAX($B$21:B1227),"")</f>
        <v>725</v>
      </c>
      <c r="C1228" s="196"/>
      <c r="D1228" s="73" t="s">
        <v>1012</v>
      </c>
      <c r="E1228" s="35" t="s">
        <v>74</v>
      </c>
      <c r="F1228" s="23">
        <v>168.18</v>
      </c>
      <c r="G1228" s="12">
        <v>6.82</v>
      </c>
      <c r="H1228" s="12">
        <f t="shared" si="394"/>
        <v>6.4926399999999997</v>
      </c>
      <c r="I1228" s="12">
        <f t="shared" si="395"/>
        <v>1091.9321952</v>
      </c>
      <c r="J1228" s="11">
        <v>4.7E-2</v>
      </c>
      <c r="K1228" s="7">
        <f t="shared" si="396"/>
        <v>7.9044600000000003</v>
      </c>
      <c r="L1228" s="28" t="s">
        <v>1099</v>
      </c>
      <c r="M1228" s="29">
        <v>47.02</v>
      </c>
      <c r="N1228" s="48">
        <f t="shared" si="397"/>
        <v>34.37162</v>
      </c>
      <c r="O1228" s="48">
        <f t="shared" si="398"/>
        <v>1.6154661400000001</v>
      </c>
      <c r="P1228" s="48">
        <f t="shared" si="399"/>
        <v>271.68909542520004</v>
      </c>
      <c r="Q1228" s="48">
        <f t="shared" si="400"/>
        <v>1363.6212906252001</v>
      </c>
      <c r="R1228" s="41">
        <f t="shared" si="401"/>
        <v>1912.4744565490407</v>
      </c>
    </row>
    <row r="1229" spans="2:36" x14ac:dyDescent="0.2">
      <c r="B1229" s="61">
        <f>IF(F1229&lt;&gt;"",1+MAX($B$21:B1228),"")</f>
        <v>726</v>
      </c>
      <c r="C1229" s="196"/>
      <c r="D1229" s="73" t="s">
        <v>1013</v>
      </c>
      <c r="E1229" s="35" t="s">
        <v>74</v>
      </c>
      <c r="F1229" s="23">
        <v>138.27000000000001</v>
      </c>
      <c r="G1229" s="12">
        <v>4.8</v>
      </c>
      <c r="H1229" s="12">
        <f t="shared" si="394"/>
        <v>4.5695999999999994</v>
      </c>
      <c r="I1229" s="12">
        <f t="shared" si="395"/>
        <v>631.83859199999995</v>
      </c>
      <c r="J1229" s="11">
        <v>0.17399999999999999</v>
      </c>
      <c r="K1229" s="7">
        <f t="shared" si="396"/>
        <v>24.058980000000002</v>
      </c>
      <c r="L1229" s="28" t="s">
        <v>1076</v>
      </c>
      <c r="M1229" s="29">
        <v>64.45</v>
      </c>
      <c r="N1229" s="48">
        <f t="shared" si="397"/>
        <v>47.112949999999998</v>
      </c>
      <c r="O1229" s="48">
        <f t="shared" si="398"/>
        <v>8.1976532999999989</v>
      </c>
      <c r="P1229" s="48">
        <f t="shared" si="399"/>
        <v>1133.489521791</v>
      </c>
      <c r="Q1229" s="48">
        <f t="shared" si="400"/>
        <v>1765.3281137909999</v>
      </c>
      <c r="R1229" s="41">
        <f t="shared" si="401"/>
        <v>2499.7889574645569</v>
      </c>
    </row>
    <row r="1230" spans="2:36" x14ac:dyDescent="0.2">
      <c r="B1230" s="61">
        <f>IF(F1230&lt;&gt;"",1+MAX($B$21:B1229),"")</f>
        <v>727</v>
      </c>
      <c r="C1230" s="196"/>
      <c r="D1230" s="73" t="s">
        <v>1014</v>
      </c>
      <c r="E1230" s="35" t="s">
        <v>74</v>
      </c>
      <c r="F1230" s="23">
        <v>72.88</v>
      </c>
      <c r="G1230" s="48">
        <v>0.7</v>
      </c>
      <c r="H1230" s="48">
        <f t="shared" si="394"/>
        <v>0.66639999999999988</v>
      </c>
      <c r="I1230" s="48">
        <f t="shared" si="395"/>
        <v>48.56723199999999</v>
      </c>
      <c r="J1230" s="49">
        <v>7.0000000000000001E-3</v>
      </c>
      <c r="K1230" s="50">
        <f t="shared" si="396"/>
        <v>0.51015999999999995</v>
      </c>
      <c r="L1230" s="50" t="s">
        <v>1082</v>
      </c>
      <c r="M1230" s="48">
        <v>61.3</v>
      </c>
      <c r="N1230" s="48">
        <f t="shared" si="397"/>
        <v>44.810299999999998</v>
      </c>
      <c r="O1230" s="48">
        <f t="shared" si="398"/>
        <v>0.31367210000000001</v>
      </c>
      <c r="P1230" s="48">
        <f t="shared" si="399"/>
        <v>22.860422648</v>
      </c>
      <c r="Q1230" s="48">
        <f t="shared" si="400"/>
        <v>71.427654647999987</v>
      </c>
      <c r="R1230" s="41">
        <f t="shared" si="401"/>
        <v>100.44110588349598</v>
      </c>
    </row>
    <row r="1231" spans="2:36" x14ac:dyDescent="0.2">
      <c r="B1231" s="61">
        <f>IF(F1231&lt;&gt;"",1+MAX($B$21:B1230),"")</f>
        <v>728</v>
      </c>
      <c r="C1231" s="197"/>
      <c r="D1231" s="73" t="s">
        <v>1015</v>
      </c>
      <c r="E1231" s="35" t="s">
        <v>74</v>
      </c>
      <c r="F1231" s="23">
        <v>74.430000000000007</v>
      </c>
      <c r="G1231" s="48">
        <v>0.4</v>
      </c>
      <c r="H1231" s="48">
        <f t="shared" si="394"/>
        <v>0.38080000000000003</v>
      </c>
      <c r="I1231" s="48">
        <f t="shared" si="395"/>
        <v>28.342944000000006</v>
      </c>
      <c r="J1231" s="49">
        <v>8.0000000000000002E-3</v>
      </c>
      <c r="K1231" s="50">
        <f t="shared" si="396"/>
        <v>0.59544000000000008</v>
      </c>
      <c r="L1231" s="50" t="s">
        <v>1082</v>
      </c>
      <c r="M1231" s="48">
        <v>61.3</v>
      </c>
      <c r="N1231" s="48">
        <f t="shared" si="397"/>
        <v>44.810299999999998</v>
      </c>
      <c r="O1231" s="48">
        <f t="shared" si="398"/>
        <v>0.35848239999999998</v>
      </c>
      <c r="P1231" s="48">
        <f t="shared" si="399"/>
        <v>26.681845032000002</v>
      </c>
      <c r="Q1231" s="48">
        <f t="shared" si="400"/>
        <v>55.024789032000008</v>
      </c>
      <c r="R1231" s="41">
        <f t="shared" si="401"/>
        <v>77.653079862264008</v>
      </c>
    </row>
    <row r="1232" spans="2:36" x14ac:dyDescent="0.2">
      <c r="B1232" s="61" t="str">
        <f>IF(F1232&lt;&gt;"",1+MAX($B$21:B1231),"")</f>
        <v/>
      </c>
      <c r="C1232" s="67"/>
      <c r="D1232" s="73"/>
      <c r="E1232" s="14"/>
      <c r="F1232" s="23"/>
      <c r="G1232" s="48"/>
      <c r="H1232" s="48">
        <f t="shared" si="394"/>
        <v>0</v>
      </c>
      <c r="I1232" s="48">
        <f t="shared" si="395"/>
        <v>0</v>
      </c>
      <c r="J1232" s="49"/>
      <c r="K1232" s="50">
        <f t="shared" si="396"/>
        <v>0</v>
      </c>
      <c r="L1232" s="50"/>
      <c r="M1232" s="48"/>
      <c r="N1232" s="48">
        <f t="shared" si="397"/>
        <v>0</v>
      </c>
      <c r="O1232" s="48">
        <f t="shared" si="398"/>
        <v>0</v>
      </c>
      <c r="P1232" s="48">
        <f t="shared" si="399"/>
        <v>0</v>
      </c>
      <c r="Q1232" s="48">
        <f t="shared" si="400"/>
        <v>0</v>
      </c>
      <c r="R1232" s="41">
        <f t="shared" si="401"/>
        <v>0</v>
      </c>
    </row>
    <row r="1233" spans="2:18" x14ac:dyDescent="0.2">
      <c r="B1233" s="62" t="str">
        <f>IF(F1233&lt;&gt;"",1+MAX($B$21:B1232),"")</f>
        <v/>
      </c>
      <c r="C1233" s="68"/>
      <c r="D1233" s="74" t="s">
        <v>1016</v>
      </c>
      <c r="E1233" s="14"/>
      <c r="F1233" s="19"/>
      <c r="G1233" s="48"/>
      <c r="H1233" s="48">
        <f t="shared" si="394"/>
        <v>0</v>
      </c>
      <c r="I1233" s="48">
        <f t="shared" si="395"/>
        <v>0</v>
      </c>
      <c r="J1233" s="49"/>
      <c r="K1233" s="50">
        <f t="shared" si="396"/>
        <v>0</v>
      </c>
      <c r="L1233" s="50"/>
      <c r="M1233" s="48"/>
      <c r="N1233" s="48">
        <f t="shared" si="397"/>
        <v>0</v>
      </c>
      <c r="O1233" s="48">
        <f t="shared" si="398"/>
        <v>0</v>
      </c>
      <c r="P1233" s="48">
        <f t="shared" si="399"/>
        <v>0</v>
      </c>
      <c r="Q1233" s="48">
        <f t="shared" si="400"/>
        <v>0</v>
      </c>
      <c r="R1233" s="41">
        <f t="shared" si="401"/>
        <v>0</v>
      </c>
    </row>
    <row r="1234" spans="2:18" x14ac:dyDescent="0.2">
      <c r="B1234" s="61">
        <f>IF(F1234&lt;&gt;"",1+MAX($B$21:B1233),"")</f>
        <v>729</v>
      </c>
      <c r="C1234" s="67" t="s">
        <v>1017</v>
      </c>
      <c r="D1234" s="73" t="s">
        <v>1018</v>
      </c>
      <c r="E1234" s="14" t="s">
        <v>79</v>
      </c>
      <c r="F1234" s="23">
        <v>6</v>
      </c>
      <c r="G1234" s="12">
        <v>340</v>
      </c>
      <c r="H1234" s="12">
        <f t="shared" si="394"/>
        <v>323.68</v>
      </c>
      <c r="I1234" s="12">
        <f t="shared" si="395"/>
        <v>1942.08</v>
      </c>
      <c r="J1234" s="11">
        <v>1.333</v>
      </c>
      <c r="K1234" s="7">
        <f t="shared" si="396"/>
        <v>7.9979999999999993</v>
      </c>
      <c r="L1234" s="28" t="s">
        <v>1076</v>
      </c>
      <c r="M1234" s="29">
        <v>64.45</v>
      </c>
      <c r="N1234" s="48">
        <f t="shared" si="397"/>
        <v>47.112949999999998</v>
      </c>
      <c r="O1234" s="48">
        <f t="shared" si="398"/>
        <v>62.801562349999998</v>
      </c>
      <c r="P1234" s="48">
        <f t="shared" si="399"/>
        <v>376.80937410000001</v>
      </c>
      <c r="Q1234" s="48">
        <f t="shared" si="400"/>
        <v>2318.8893741000002</v>
      </c>
      <c r="R1234" s="41">
        <f t="shared" si="401"/>
        <v>3249.6274888407002</v>
      </c>
    </row>
    <row r="1235" spans="2:18" x14ac:dyDescent="0.2">
      <c r="B1235" s="61" t="str">
        <f>IF(F1235&lt;&gt;"",1+MAX($B$21:B1234),"")</f>
        <v/>
      </c>
      <c r="C1235" s="67"/>
      <c r="D1235" s="73"/>
      <c r="E1235" s="14"/>
      <c r="F1235" s="23"/>
      <c r="G1235" s="48"/>
      <c r="H1235" s="48">
        <f t="shared" si="394"/>
        <v>0</v>
      </c>
      <c r="I1235" s="48">
        <f t="shared" si="395"/>
        <v>0</v>
      </c>
      <c r="J1235" s="49"/>
      <c r="K1235" s="50">
        <f t="shared" si="396"/>
        <v>0</v>
      </c>
      <c r="L1235" s="50"/>
      <c r="M1235" s="48"/>
      <c r="N1235" s="48">
        <f t="shared" si="397"/>
        <v>0</v>
      </c>
      <c r="O1235" s="48">
        <f t="shared" si="398"/>
        <v>0</v>
      </c>
      <c r="P1235" s="48">
        <f t="shared" si="399"/>
        <v>0</v>
      </c>
      <c r="Q1235" s="48">
        <f t="shared" si="400"/>
        <v>0</v>
      </c>
      <c r="R1235" s="41">
        <f t="shared" si="401"/>
        <v>0</v>
      </c>
    </row>
    <row r="1236" spans="2:18" x14ac:dyDescent="0.2">
      <c r="B1236" s="62" t="str">
        <f>IF(F1236&lt;&gt;"",1+MAX($B$21:B1235),"")</f>
        <v/>
      </c>
      <c r="C1236" s="68"/>
      <c r="D1236" s="74" t="s">
        <v>1019</v>
      </c>
      <c r="E1236" s="14"/>
      <c r="F1236" s="19"/>
      <c r="G1236" s="48"/>
      <c r="H1236" s="48">
        <f t="shared" si="394"/>
        <v>0</v>
      </c>
      <c r="I1236" s="48">
        <f t="shared" si="395"/>
        <v>0</v>
      </c>
      <c r="J1236" s="49"/>
      <c r="K1236" s="50">
        <f t="shared" si="396"/>
        <v>0</v>
      </c>
      <c r="L1236" s="50"/>
      <c r="M1236" s="48"/>
      <c r="N1236" s="48">
        <f t="shared" si="397"/>
        <v>0</v>
      </c>
      <c r="O1236" s="48">
        <f t="shared" si="398"/>
        <v>0</v>
      </c>
      <c r="P1236" s="48">
        <f t="shared" si="399"/>
        <v>0</v>
      </c>
      <c r="Q1236" s="48">
        <f t="shared" si="400"/>
        <v>0</v>
      </c>
      <c r="R1236" s="41">
        <f t="shared" si="401"/>
        <v>0</v>
      </c>
    </row>
    <row r="1237" spans="2:18" x14ac:dyDescent="0.2">
      <c r="B1237" s="61">
        <f>IF(F1237&lt;&gt;"",1+MAX($B$21:B1236),"")</f>
        <v>730</v>
      </c>
      <c r="C1237" s="198" t="s">
        <v>896</v>
      </c>
      <c r="D1237" s="73" t="s">
        <v>1020</v>
      </c>
      <c r="E1237" s="35" t="s">
        <v>79</v>
      </c>
      <c r="F1237" s="23">
        <v>5</v>
      </c>
      <c r="G1237" s="48">
        <v>1250</v>
      </c>
      <c r="H1237" s="48">
        <f t="shared" si="394"/>
        <v>1190</v>
      </c>
      <c r="I1237" s="48">
        <f t="shared" si="395"/>
        <v>5950</v>
      </c>
      <c r="J1237" s="11">
        <v>8</v>
      </c>
      <c r="K1237" s="7">
        <f t="shared" si="396"/>
        <v>40</v>
      </c>
      <c r="L1237" s="28" t="s">
        <v>1103</v>
      </c>
      <c r="M1237" s="29">
        <v>56.41</v>
      </c>
      <c r="N1237" s="48">
        <f t="shared" si="397"/>
        <v>41.235709999999997</v>
      </c>
      <c r="O1237" s="48">
        <f t="shared" si="398"/>
        <v>329.88567999999998</v>
      </c>
      <c r="P1237" s="48">
        <f t="shared" si="399"/>
        <v>1649.4283999999998</v>
      </c>
      <c r="Q1237" s="48">
        <f t="shared" si="400"/>
        <v>7599.4283999999998</v>
      </c>
      <c r="R1237" s="41">
        <f t="shared" si="401"/>
        <v>10662.3143268</v>
      </c>
    </row>
    <row r="1238" spans="2:18" x14ac:dyDescent="0.2">
      <c r="B1238" s="61">
        <f>IF(F1238&lt;&gt;"",1+MAX($B$21:B1237),"")</f>
        <v>731</v>
      </c>
      <c r="C1238" s="197"/>
      <c r="D1238" s="73" t="s">
        <v>1021</v>
      </c>
      <c r="E1238" s="14" t="s">
        <v>79</v>
      </c>
      <c r="F1238" s="23">
        <v>1</v>
      </c>
      <c r="G1238" s="48">
        <v>1000</v>
      </c>
      <c r="H1238" s="48">
        <f t="shared" si="394"/>
        <v>952</v>
      </c>
      <c r="I1238" s="48">
        <f t="shared" si="395"/>
        <v>952</v>
      </c>
      <c r="J1238" s="11">
        <v>6</v>
      </c>
      <c r="K1238" s="7">
        <f t="shared" si="396"/>
        <v>6</v>
      </c>
      <c r="L1238" s="28" t="s">
        <v>1103</v>
      </c>
      <c r="M1238" s="29">
        <v>56.41</v>
      </c>
      <c r="N1238" s="48">
        <f t="shared" si="397"/>
        <v>41.235709999999997</v>
      </c>
      <c r="O1238" s="48">
        <f t="shared" si="398"/>
        <v>247.41425999999998</v>
      </c>
      <c r="P1238" s="48">
        <f t="shared" si="399"/>
        <v>247.41425999999998</v>
      </c>
      <c r="Q1238" s="48">
        <f t="shared" si="400"/>
        <v>1199.41426</v>
      </c>
      <c r="R1238" s="41">
        <f t="shared" si="401"/>
        <v>1682.4329490200003</v>
      </c>
    </row>
    <row r="1239" spans="2:18" x14ac:dyDescent="0.2">
      <c r="B1239" s="61" t="str">
        <f>IF(F1239&lt;&gt;"",1+MAX($B$21:B1238),"")</f>
        <v/>
      </c>
      <c r="C1239" s="67"/>
      <c r="D1239" s="42"/>
      <c r="E1239" s="35"/>
      <c r="F1239" s="23"/>
      <c r="G1239" s="48"/>
      <c r="H1239" s="48">
        <f t="shared" si="394"/>
        <v>0</v>
      </c>
      <c r="I1239" s="48">
        <f t="shared" si="395"/>
        <v>0</v>
      </c>
      <c r="J1239" s="49"/>
      <c r="K1239" s="50">
        <f t="shared" si="396"/>
        <v>0</v>
      </c>
      <c r="L1239" s="50"/>
      <c r="M1239" s="48"/>
      <c r="N1239" s="48">
        <f t="shared" si="397"/>
        <v>0</v>
      </c>
      <c r="O1239" s="48">
        <f t="shared" si="398"/>
        <v>0</v>
      </c>
      <c r="P1239" s="48">
        <f t="shared" si="399"/>
        <v>0</v>
      </c>
      <c r="Q1239" s="48">
        <f t="shared" si="400"/>
        <v>0</v>
      </c>
      <c r="R1239" s="41">
        <f t="shared" si="401"/>
        <v>0</v>
      </c>
    </row>
    <row r="1240" spans="2:18" x14ac:dyDescent="0.2">
      <c r="B1240" s="62" t="str">
        <f>IF(F1240&lt;&gt;"",1+MAX($B$21:B1239),"")</f>
        <v/>
      </c>
      <c r="C1240" s="68"/>
      <c r="D1240" s="74" t="s">
        <v>145</v>
      </c>
      <c r="E1240" s="14"/>
      <c r="F1240" s="19"/>
      <c r="G1240" s="48"/>
      <c r="H1240" s="48">
        <f t="shared" si="394"/>
        <v>0</v>
      </c>
      <c r="I1240" s="48">
        <f t="shared" si="395"/>
        <v>0</v>
      </c>
      <c r="J1240" s="49"/>
      <c r="K1240" s="50">
        <f t="shared" si="396"/>
        <v>0</v>
      </c>
      <c r="L1240" s="50"/>
      <c r="M1240" s="48"/>
      <c r="N1240" s="48">
        <f t="shared" si="397"/>
        <v>0</v>
      </c>
      <c r="O1240" s="48">
        <f t="shared" si="398"/>
        <v>0</v>
      </c>
      <c r="P1240" s="48">
        <f t="shared" si="399"/>
        <v>0</v>
      </c>
      <c r="Q1240" s="48">
        <f t="shared" si="400"/>
        <v>0</v>
      </c>
      <c r="R1240" s="41">
        <f t="shared" si="401"/>
        <v>0</v>
      </c>
    </row>
    <row r="1241" spans="2:18" x14ac:dyDescent="0.2">
      <c r="B1241" s="61">
        <f>IF(F1241&lt;&gt;"",1+MAX($B$21:B1240),"")</f>
        <v>732</v>
      </c>
      <c r="C1241" s="67" t="s">
        <v>896</v>
      </c>
      <c r="D1241" s="73" t="s">
        <v>1022</v>
      </c>
      <c r="E1241" s="35" t="s">
        <v>79</v>
      </c>
      <c r="F1241" s="23">
        <v>1</v>
      </c>
      <c r="G1241" s="48">
        <v>2400</v>
      </c>
      <c r="H1241" s="48">
        <f t="shared" si="394"/>
        <v>2284.7999999999997</v>
      </c>
      <c r="I1241" s="48">
        <f t="shared" si="395"/>
        <v>2284.7999999999997</v>
      </c>
      <c r="J1241" s="11">
        <v>12</v>
      </c>
      <c r="K1241" s="7">
        <f t="shared" ref="K1241" si="402">F1241*J1241</f>
        <v>12</v>
      </c>
      <c r="L1241" s="28" t="s">
        <v>1103</v>
      </c>
      <c r="M1241" s="29">
        <v>56.41</v>
      </c>
      <c r="N1241" s="48">
        <f t="shared" si="397"/>
        <v>41.235709999999997</v>
      </c>
      <c r="O1241" s="48">
        <f t="shared" si="398"/>
        <v>494.82851999999997</v>
      </c>
      <c r="P1241" s="48">
        <f t="shared" si="399"/>
        <v>494.82851999999997</v>
      </c>
      <c r="Q1241" s="48">
        <f t="shared" si="400"/>
        <v>2779.6285199999998</v>
      </c>
      <c r="R1241" s="41">
        <f t="shared" si="401"/>
        <v>3896.61501804</v>
      </c>
    </row>
    <row r="1242" spans="2:18" x14ac:dyDescent="0.2">
      <c r="B1242" s="61" t="str">
        <f>IF(F1242&lt;&gt;"",1+MAX($B$21:B1241),"")</f>
        <v/>
      </c>
      <c r="C1242" s="67"/>
      <c r="D1242" s="73"/>
      <c r="E1242" s="35"/>
      <c r="F1242" s="23"/>
      <c r="G1242" s="48"/>
      <c r="H1242" s="48">
        <f t="shared" si="394"/>
        <v>0</v>
      </c>
      <c r="I1242" s="48">
        <f t="shared" si="395"/>
        <v>0</v>
      </c>
      <c r="J1242" s="49"/>
      <c r="K1242" s="50">
        <f t="shared" si="396"/>
        <v>0</v>
      </c>
      <c r="L1242" s="50"/>
      <c r="M1242" s="48"/>
      <c r="N1242" s="48">
        <f t="shared" si="397"/>
        <v>0</v>
      </c>
      <c r="O1242" s="48">
        <f t="shared" si="398"/>
        <v>0</v>
      </c>
      <c r="P1242" s="48">
        <f t="shared" si="399"/>
        <v>0</v>
      </c>
      <c r="Q1242" s="48">
        <f t="shared" si="400"/>
        <v>0</v>
      </c>
      <c r="R1242" s="41">
        <f t="shared" si="401"/>
        <v>0</v>
      </c>
    </row>
    <row r="1243" spans="2:18" x14ac:dyDescent="0.2">
      <c r="B1243" s="62" t="str">
        <f>IF(F1243&lt;&gt;"",1+MAX($B$21:B1242),"")</f>
        <v/>
      </c>
      <c r="C1243" s="68"/>
      <c r="D1243" s="74" t="s">
        <v>1023</v>
      </c>
      <c r="E1243" s="14"/>
      <c r="F1243" s="19"/>
      <c r="G1243" s="48"/>
      <c r="H1243" s="48">
        <f t="shared" si="394"/>
        <v>0</v>
      </c>
      <c r="I1243" s="48">
        <f t="shared" si="395"/>
        <v>0</v>
      </c>
      <c r="J1243" s="49"/>
      <c r="K1243" s="50">
        <f t="shared" si="396"/>
        <v>0</v>
      </c>
      <c r="L1243" s="50"/>
      <c r="M1243" s="48"/>
      <c r="N1243" s="48">
        <f t="shared" si="397"/>
        <v>0</v>
      </c>
      <c r="O1243" s="48">
        <f t="shared" si="398"/>
        <v>0</v>
      </c>
      <c r="P1243" s="48">
        <f t="shared" si="399"/>
        <v>0</v>
      </c>
      <c r="Q1243" s="48">
        <f t="shared" si="400"/>
        <v>0</v>
      </c>
      <c r="R1243" s="41">
        <f t="shared" si="401"/>
        <v>0</v>
      </c>
    </row>
    <row r="1244" spans="2:18" ht="25.5" x14ac:dyDescent="0.2">
      <c r="B1244" s="61">
        <f>IF(F1244&lt;&gt;"",1+MAX($B$21:B1243),"")</f>
        <v>733</v>
      </c>
      <c r="C1244" s="67" t="s">
        <v>896</v>
      </c>
      <c r="D1244" s="73" t="s">
        <v>1024</v>
      </c>
      <c r="E1244" s="35" t="s">
        <v>79</v>
      </c>
      <c r="F1244" s="23">
        <v>1</v>
      </c>
      <c r="G1244" s="12">
        <v>4225</v>
      </c>
      <c r="H1244" s="12">
        <f t="shared" si="394"/>
        <v>4022.2</v>
      </c>
      <c r="I1244" s="12">
        <f t="shared" si="395"/>
        <v>4022.2</v>
      </c>
      <c r="J1244" s="11">
        <v>25.704999999999998</v>
      </c>
      <c r="K1244" s="7">
        <f t="shared" si="396"/>
        <v>25.704999999999998</v>
      </c>
      <c r="L1244" s="28" t="s">
        <v>1103</v>
      </c>
      <c r="M1244" s="29">
        <v>56.41</v>
      </c>
      <c r="N1244" s="48">
        <f t="shared" si="397"/>
        <v>41.235709999999997</v>
      </c>
      <c r="O1244" s="48">
        <f t="shared" si="398"/>
        <v>1059.9639255499999</v>
      </c>
      <c r="P1244" s="48">
        <f t="shared" si="399"/>
        <v>1059.9639255499999</v>
      </c>
      <c r="Q1244" s="48">
        <f t="shared" si="400"/>
        <v>5082.1639255499995</v>
      </c>
      <c r="R1244" s="41">
        <f t="shared" si="401"/>
        <v>7129.1686017598486</v>
      </c>
    </row>
    <row r="1245" spans="2:18" x14ac:dyDescent="0.2">
      <c r="B1245" s="61" t="str">
        <f>IF(F1245&lt;&gt;"",1+MAX($B$21:B1244),"")</f>
        <v/>
      </c>
      <c r="C1245" s="67"/>
      <c r="D1245" s="73"/>
      <c r="E1245" s="35"/>
      <c r="F1245" s="24"/>
      <c r="G1245" s="48"/>
      <c r="H1245" s="48">
        <f t="shared" si="394"/>
        <v>0</v>
      </c>
      <c r="I1245" s="48">
        <f t="shared" si="395"/>
        <v>0</v>
      </c>
      <c r="J1245" s="49"/>
      <c r="K1245" s="50">
        <f t="shared" si="396"/>
        <v>0</v>
      </c>
      <c r="L1245" s="50"/>
      <c r="M1245" s="48"/>
      <c r="N1245" s="48">
        <f t="shared" si="397"/>
        <v>0</v>
      </c>
      <c r="O1245" s="48">
        <f t="shared" si="398"/>
        <v>0</v>
      </c>
      <c r="P1245" s="48">
        <f t="shared" si="399"/>
        <v>0</v>
      </c>
      <c r="Q1245" s="48">
        <f t="shared" si="400"/>
        <v>0</v>
      </c>
      <c r="R1245" s="41">
        <f t="shared" si="401"/>
        <v>0</v>
      </c>
    </row>
    <row r="1246" spans="2:18" x14ac:dyDescent="0.2">
      <c r="B1246" s="62" t="str">
        <f>IF(F1246&lt;&gt;"",1+MAX($B$21:B1245),"")</f>
        <v/>
      </c>
      <c r="C1246" s="68"/>
      <c r="D1246" s="74" t="s">
        <v>140</v>
      </c>
      <c r="E1246" s="14"/>
      <c r="F1246" s="19"/>
      <c r="G1246" s="48"/>
      <c r="H1246" s="48">
        <f t="shared" si="394"/>
        <v>0</v>
      </c>
      <c r="I1246" s="48">
        <f t="shared" si="395"/>
        <v>0</v>
      </c>
      <c r="J1246" s="49"/>
      <c r="K1246" s="50">
        <f t="shared" si="396"/>
        <v>0</v>
      </c>
      <c r="L1246" s="50"/>
      <c r="M1246" s="48"/>
      <c r="N1246" s="48">
        <f t="shared" si="397"/>
        <v>0</v>
      </c>
      <c r="O1246" s="48">
        <f t="shared" si="398"/>
        <v>0</v>
      </c>
      <c r="P1246" s="48">
        <f t="shared" si="399"/>
        <v>0</v>
      </c>
      <c r="Q1246" s="48">
        <f t="shared" si="400"/>
        <v>0</v>
      </c>
      <c r="R1246" s="41">
        <f t="shared" si="401"/>
        <v>0</v>
      </c>
    </row>
    <row r="1247" spans="2:18" x14ac:dyDescent="0.2">
      <c r="B1247" s="61">
        <f>IF(F1247&lt;&gt;"",1+MAX($B$21:B1246),"")</f>
        <v>734</v>
      </c>
      <c r="C1247" s="198" t="s">
        <v>1007</v>
      </c>
      <c r="D1247" s="73" t="s">
        <v>1025</v>
      </c>
      <c r="E1247" s="35" t="s">
        <v>79</v>
      </c>
      <c r="F1247" s="25">
        <v>1</v>
      </c>
      <c r="G1247" s="48">
        <v>450</v>
      </c>
      <c r="H1247" s="48">
        <f t="shared" si="394"/>
        <v>428.4</v>
      </c>
      <c r="I1247" s="48">
        <f t="shared" si="395"/>
        <v>428.4</v>
      </c>
      <c r="J1247" s="49">
        <v>3</v>
      </c>
      <c r="K1247" s="50">
        <f t="shared" si="396"/>
        <v>3</v>
      </c>
      <c r="L1247" s="50" t="s">
        <v>1074</v>
      </c>
      <c r="M1247" s="48">
        <v>58</v>
      </c>
      <c r="N1247" s="48">
        <f t="shared" si="397"/>
        <v>42.397999999999996</v>
      </c>
      <c r="O1247" s="48">
        <f t="shared" si="398"/>
        <v>127.19399999999999</v>
      </c>
      <c r="P1247" s="48">
        <f t="shared" si="399"/>
        <v>127.19399999999999</v>
      </c>
      <c r="Q1247" s="48">
        <f t="shared" si="400"/>
        <v>555.59399999999994</v>
      </c>
      <c r="R1247" s="41">
        <f t="shared" si="401"/>
        <v>779.72359799999992</v>
      </c>
    </row>
    <row r="1248" spans="2:18" x14ac:dyDescent="0.2">
      <c r="B1248" s="61">
        <f>IF(F1248&lt;&gt;"",1+MAX($B$21:B1247),"")</f>
        <v>735</v>
      </c>
      <c r="C1248" s="196"/>
      <c r="D1248" s="73" t="s">
        <v>1026</v>
      </c>
      <c r="E1248" s="35" t="s">
        <v>79</v>
      </c>
      <c r="F1248" s="25">
        <v>1</v>
      </c>
      <c r="G1248" s="12">
        <v>660</v>
      </c>
      <c r="H1248" s="12">
        <f t="shared" si="394"/>
        <v>628.31999999999994</v>
      </c>
      <c r="I1248" s="12">
        <f t="shared" si="395"/>
        <v>628.31999999999994</v>
      </c>
      <c r="J1248" s="11">
        <v>2.5</v>
      </c>
      <c r="K1248" s="7">
        <f t="shared" si="396"/>
        <v>2.5</v>
      </c>
      <c r="L1248" s="28" t="s">
        <v>1076</v>
      </c>
      <c r="M1248" s="29">
        <v>64.45</v>
      </c>
      <c r="N1248" s="48">
        <f t="shared" si="397"/>
        <v>47.112949999999998</v>
      </c>
      <c r="O1248" s="48">
        <f t="shared" si="398"/>
        <v>117.782375</v>
      </c>
      <c r="P1248" s="48">
        <f t="shared" si="399"/>
        <v>117.782375</v>
      </c>
      <c r="Q1248" s="48">
        <f t="shared" si="400"/>
        <v>746.10237499999994</v>
      </c>
      <c r="R1248" s="41">
        <f t="shared" si="401"/>
        <v>1045.4614971249998</v>
      </c>
    </row>
    <row r="1249" spans="2:19" x14ac:dyDescent="0.2">
      <c r="B1249" s="61">
        <f>IF(F1249&lt;&gt;"",1+MAX($B$21:B1248),"")</f>
        <v>736</v>
      </c>
      <c r="C1249" s="196"/>
      <c r="D1249" s="73" t="s">
        <v>1027</v>
      </c>
      <c r="E1249" s="35" t="s">
        <v>79</v>
      </c>
      <c r="F1249" s="25">
        <v>1</v>
      </c>
      <c r="G1249" s="48">
        <v>389</v>
      </c>
      <c r="H1249" s="48">
        <f t="shared" si="394"/>
        <v>370.32799999999997</v>
      </c>
      <c r="I1249" s="48">
        <f t="shared" si="395"/>
        <v>370.32799999999997</v>
      </c>
      <c r="J1249" s="49">
        <v>1.25</v>
      </c>
      <c r="K1249" s="50">
        <f t="shared" si="396"/>
        <v>1.25</v>
      </c>
      <c r="L1249" s="28" t="s">
        <v>1076</v>
      </c>
      <c r="M1249" s="29">
        <v>64.45</v>
      </c>
      <c r="N1249" s="48">
        <f t="shared" si="397"/>
        <v>47.112949999999998</v>
      </c>
      <c r="O1249" s="48">
        <f t="shared" si="398"/>
        <v>58.891187500000001</v>
      </c>
      <c r="P1249" s="48">
        <f t="shared" si="399"/>
        <v>58.891187500000001</v>
      </c>
      <c r="Q1249" s="48">
        <f t="shared" si="400"/>
        <v>429.21918749999998</v>
      </c>
      <c r="R1249" s="41">
        <f t="shared" si="401"/>
        <v>601.16374376250008</v>
      </c>
    </row>
    <row r="1250" spans="2:19" ht="38.25" x14ac:dyDescent="0.2">
      <c r="B1250" s="61">
        <f>IF(F1250&lt;&gt;"",1+MAX($B$21:B1249),"")</f>
        <v>737</v>
      </c>
      <c r="C1250" s="196"/>
      <c r="D1250" s="73" t="s">
        <v>1028</v>
      </c>
      <c r="E1250" s="35" t="s">
        <v>79</v>
      </c>
      <c r="F1250" s="25">
        <v>1</v>
      </c>
      <c r="G1250" s="48">
        <v>250</v>
      </c>
      <c r="H1250" s="48">
        <f t="shared" si="394"/>
        <v>238</v>
      </c>
      <c r="I1250" s="48">
        <f t="shared" si="395"/>
        <v>238</v>
      </c>
      <c r="J1250" s="49">
        <v>5</v>
      </c>
      <c r="K1250" s="50">
        <f t="shared" si="396"/>
        <v>5</v>
      </c>
      <c r="L1250" s="28" t="s">
        <v>1103</v>
      </c>
      <c r="M1250" s="29">
        <v>56.41</v>
      </c>
      <c r="N1250" s="48">
        <f t="shared" si="397"/>
        <v>41.235709999999997</v>
      </c>
      <c r="O1250" s="48">
        <f t="shared" si="398"/>
        <v>206.17854999999997</v>
      </c>
      <c r="P1250" s="48">
        <f t="shared" si="399"/>
        <v>206.17854999999997</v>
      </c>
      <c r="Q1250" s="48">
        <f t="shared" si="400"/>
        <v>444.17854999999997</v>
      </c>
      <c r="R1250" s="41">
        <f t="shared" si="401"/>
        <v>626.55999084999996</v>
      </c>
    </row>
    <row r="1251" spans="2:19" x14ac:dyDescent="0.2">
      <c r="B1251" s="61">
        <f>IF(F1251&lt;&gt;"",1+MAX($B$21:B1250),"")</f>
        <v>738</v>
      </c>
      <c r="C1251" s="196"/>
      <c r="D1251" s="73" t="s">
        <v>1029</v>
      </c>
      <c r="E1251" s="35" t="s">
        <v>74</v>
      </c>
      <c r="F1251" s="25">
        <v>9</v>
      </c>
      <c r="G1251" s="48">
        <v>35</v>
      </c>
      <c r="H1251" s="48">
        <f t="shared" si="394"/>
        <v>33.32</v>
      </c>
      <c r="I1251" s="48">
        <f t="shared" si="395"/>
        <v>299.88</v>
      </c>
      <c r="J1251" s="49">
        <v>0.5</v>
      </c>
      <c r="K1251" s="50">
        <f t="shared" si="396"/>
        <v>4.5</v>
      </c>
      <c r="L1251" s="28" t="s">
        <v>1103</v>
      </c>
      <c r="M1251" s="29">
        <v>56.41</v>
      </c>
      <c r="N1251" s="48">
        <f t="shared" si="397"/>
        <v>41.235709999999997</v>
      </c>
      <c r="O1251" s="48">
        <f t="shared" si="398"/>
        <v>20.617854999999999</v>
      </c>
      <c r="P1251" s="48">
        <f t="shared" si="399"/>
        <v>185.56069499999998</v>
      </c>
      <c r="Q1251" s="48">
        <f t="shared" si="400"/>
        <v>485.44069500000001</v>
      </c>
      <c r="R1251" s="41">
        <f t="shared" si="401"/>
        <v>683.547543765</v>
      </c>
    </row>
    <row r="1252" spans="2:19" x14ac:dyDescent="0.2">
      <c r="B1252" s="61">
        <f>IF(F1252&lt;&gt;"",1+MAX($B$21:B1251),"")</f>
        <v>739</v>
      </c>
      <c r="C1252" s="197"/>
      <c r="D1252" s="73" t="s">
        <v>1030</v>
      </c>
      <c r="E1252" s="35" t="s">
        <v>79</v>
      </c>
      <c r="F1252" s="25">
        <v>2</v>
      </c>
      <c r="G1252" s="48">
        <v>4410</v>
      </c>
      <c r="H1252" s="48">
        <f t="shared" si="394"/>
        <v>4198.32</v>
      </c>
      <c r="I1252" s="48">
        <f t="shared" si="395"/>
        <v>8396.64</v>
      </c>
      <c r="J1252" s="49">
        <v>4.5</v>
      </c>
      <c r="K1252" s="50">
        <f t="shared" si="396"/>
        <v>9</v>
      </c>
      <c r="L1252" s="50" t="s">
        <v>1074</v>
      </c>
      <c r="M1252" s="48">
        <v>58</v>
      </c>
      <c r="N1252" s="48">
        <f t="shared" si="397"/>
        <v>42.397999999999996</v>
      </c>
      <c r="O1252" s="48">
        <f t="shared" si="398"/>
        <v>190.791</v>
      </c>
      <c r="P1252" s="48">
        <f t="shared" si="399"/>
        <v>381.58199999999999</v>
      </c>
      <c r="Q1252" s="48">
        <f t="shared" si="400"/>
        <v>8778.2219999999998</v>
      </c>
      <c r="R1252" s="41">
        <f t="shared" si="401"/>
        <v>12269.58561</v>
      </c>
    </row>
    <row r="1253" spans="2:19" x14ac:dyDescent="0.2">
      <c r="B1253" s="61" t="str">
        <f>IF(F1253&lt;&gt;"",1+MAX($B$21:B1252),"")</f>
        <v/>
      </c>
      <c r="C1253" s="67"/>
      <c r="D1253" s="73"/>
      <c r="E1253" s="35"/>
      <c r="F1253" s="25"/>
      <c r="G1253" s="48"/>
      <c r="H1253" s="48">
        <f t="shared" si="394"/>
        <v>0</v>
      </c>
      <c r="I1253" s="48">
        <f t="shared" si="395"/>
        <v>0</v>
      </c>
      <c r="J1253" s="49"/>
      <c r="K1253" s="50">
        <f t="shared" si="396"/>
        <v>0</v>
      </c>
      <c r="L1253" s="50"/>
      <c r="M1253" s="48"/>
      <c r="N1253" s="48">
        <f t="shared" si="397"/>
        <v>0</v>
      </c>
      <c r="O1253" s="48">
        <f t="shared" si="398"/>
        <v>0</v>
      </c>
      <c r="P1253" s="48">
        <f t="shared" si="399"/>
        <v>0</v>
      </c>
      <c r="Q1253" s="48">
        <f t="shared" si="400"/>
        <v>0</v>
      </c>
      <c r="R1253" s="41">
        <f t="shared" si="401"/>
        <v>0</v>
      </c>
    </row>
    <row r="1254" spans="2:19" x14ac:dyDescent="0.2">
      <c r="B1254" s="62" t="str">
        <f>IF(F1254&lt;&gt;"",1+MAX($B$21:B1253),"")</f>
        <v/>
      </c>
      <c r="C1254" s="68"/>
      <c r="D1254" s="74" t="s">
        <v>1031</v>
      </c>
      <c r="E1254" s="14"/>
      <c r="F1254" s="137"/>
      <c r="G1254" s="48"/>
      <c r="H1254" s="48">
        <f t="shared" si="394"/>
        <v>0</v>
      </c>
      <c r="I1254" s="48">
        <f t="shared" si="395"/>
        <v>0</v>
      </c>
      <c r="J1254" s="49"/>
      <c r="K1254" s="50">
        <f t="shared" si="396"/>
        <v>0</v>
      </c>
      <c r="L1254" s="50"/>
      <c r="M1254" s="48"/>
      <c r="N1254" s="48">
        <f t="shared" si="397"/>
        <v>0</v>
      </c>
      <c r="O1254" s="48">
        <f t="shared" si="398"/>
        <v>0</v>
      </c>
      <c r="P1254" s="48">
        <f t="shared" si="399"/>
        <v>0</v>
      </c>
      <c r="Q1254" s="48">
        <f t="shared" si="400"/>
        <v>0</v>
      </c>
      <c r="R1254" s="41">
        <f t="shared" si="401"/>
        <v>0</v>
      </c>
    </row>
    <row r="1255" spans="2:19" x14ac:dyDescent="0.2">
      <c r="B1255" s="61">
        <f>IF(F1255&lt;&gt;"",1+MAX($B$21:B1254),"")</f>
        <v>740</v>
      </c>
      <c r="C1255" s="198" t="s">
        <v>1007</v>
      </c>
      <c r="D1255" s="140" t="s">
        <v>1032</v>
      </c>
      <c r="E1255" s="14" t="s">
        <v>73</v>
      </c>
      <c r="F1255" s="19">
        <f>3*822*5/27</f>
        <v>456.66666666666669</v>
      </c>
      <c r="G1255" s="27"/>
      <c r="H1255" s="27">
        <f t="shared" si="394"/>
        <v>0</v>
      </c>
      <c r="I1255" s="27">
        <f t="shared" si="395"/>
        <v>0</v>
      </c>
      <c r="J1255" s="11">
        <v>1.698</v>
      </c>
      <c r="K1255" s="7">
        <f t="shared" si="396"/>
        <v>775.42</v>
      </c>
      <c r="L1255" s="28" t="s">
        <v>1045</v>
      </c>
      <c r="M1255" s="29">
        <v>42.1</v>
      </c>
      <c r="N1255" s="48">
        <f t="shared" si="397"/>
        <v>30.775100000000002</v>
      </c>
      <c r="O1255" s="48">
        <f t="shared" si="398"/>
        <v>52.2561198</v>
      </c>
      <c r="P1255" s="48">
        <f t="shared" si="399"/>
        <v>23863.628042</v>
      </c>
      <c r="Q1255" s="48">
        <f t="shared" si="400"/>
        <v>23863.628042</v>
      </c>
      <c r="R1255" s="41">
        <f t="shared" si="401"/>
        <v>34053.397215934005</v>
      </c>
    </row>
    <row r="1256" spans="2:19" x14ac:dyDescent="0.2">
      <c r="B1256" s="61">
        <f>IF(F1256&lt;&gt;"",1+MAX($B$21:B1255),"")</f>
        <v>741</v>
      </c>
      <c r="C1256" s="196"/>
      <c r="D1256" s="140" t="s">
        <v>927</v>
      </c>
      <c r="E1256" s="14" t="s">
        <v>73</v>
      </c>
      <c r="F1256" s="19">
        <f>3*822*5/27-42</f>
        <v>414.66666666666669</v>
      </c>
      <c r="G1256" s="27"/>
      <c r="H1256" s="27">
        <f t="shared" si="394"/>
        <v>0</v>
      </c>
      <c r="I1256" s="27">
        <f t="shared" si="395"/>
        <v>0</v>
      </c>
      <c r="J1256" s="11">
        <v>0.90300000000000002</v>
      </c>
      <c r="K1256" s="7">
        <f t="shared" si="396"/>
        <v>374.44400000000002</v>
      </c>
      <c r="L1256" s="28" t="s">
        <v>1045</v>
      </c>
      <c r="M1256" s="29">
        <v>42.1</v>
      </c>
      <c r="N1256" s="48">
        <f t="shared" si="397"/>
        <v>30.775100000000002</v>
      </c>
      <c r="O1256" s="48">
        <f t="shared" si="398"/>
        <v>27.789915300000004</v>
      </c>
      <c r="P1256" s="48">
        <f t="shared" si="399"/>
        <v>11523.551544400003</v>
      </c>
      <c r="Q1256" s="48">
        <f t="shared" si="400"/>
        <v>11523.551544400003</v>
      </c>
      <c r="R1256" s="41">
        <f t="shared" si="401"/>
        <v>16444.108053858803</v>
      </c>
    </row>
    <row r="1257" spans="2:19" x14ac:dyDescent="0.2">
      <c r="B1257" s="61">
        <f>IF(F1257&lt;&gt;"",1+MAX($B$21:B1256),"")</f>
        <v>742</v>
      </c>
      <c r="C1257" s="196"/>
      <c r="D1257" s="73" t="s">
        <v>915</v>
      </c>
      <c r="E1257" s="14" t="s">
        <v>73</v>
      </c>
      <c r="F1257" s="19">
        <f>F1255-F1256</f>
        <v>42</v>
      </c>
      <c r="G1257" s="27"/>
      <c r="H1257" s="27">
        <f t="shared" si="394"/>
        <v>0</v>
      </c>
      <c r="I1257" s="27">
        <f t="shared" si="395"/>
        <v>0</v>
      </c>
      <c r="J1257" s="11">
        <v>0.42499999999999999</v>
      </c>
      <c r="K1257" s="7">
        <f t="shared" si="396"/>
        <v>17.849999999999998</v>
      </c>
      <c r="L1257" s="28" t="s">
        <v>1045</v>
      </c>
      <c r="M1257" s="29">
        <v>42.1</v>
      </c>
      <c r="N1257" s="12">
        <f t="shared" si="397"/>
        <v>30.775100000000002</v>
      </c>
      <c r="O1257" s="12">
        <f t="shared" si="398"/>
        <v>13.0794175</v>
      </c>
      <c r="P1257" s="12">
        <f t="shared" si="399"/>
        <v>549.33553500000005</v>
      </c>
      <c r="Q1257" s="12">
        <f t="shared" si="400"/>
        <v>549.33553500000005</v>
      </c>
      <c r="R1257" s="41">
        <f t="shared" si="401"/>
        <v>783.90180844500014</v>
      </c>
    </row>
    <row r="1258" spans="2:19" ht="13.5" thickBot="1" x14ac:dyDescent="0.25">
      <c r="B1258" s="64" t="str">
        <f>IF(F1258&lt;&gt;"",1+MAX($B$21:B1257),"")</f>
        <v/>
      </c>
      <c r="C1258" s="71"/>
      <c r="D1258" s="81"/>
      <c r="E1258" s="43"/>
      <c r="F1258" s="44"/>
      <c r="G1258" s="212"/>
      <c r="H1258" s="212">
        <f t="shared" si="394"/>
        <v>0</v>
      </c>
      <c r="I1258" s="212">
        <f t="shared" si="395"/>
        <v>0</v>
      </c>
      <c r="J1258" s="213"/>
      <c r="K1258" s="214">
        <f t="shared" si="396"/>
        <v>0</v>
      </c>
      <c r="L1258" s="214"/>
      <c r="M1258" s="212"/>
      <c r="N1258" s="212">
        <f t="shared" si="397"/>
        <v>0</v>
      </c>
      <c r="O1258" s="212">
        <f t="shared" si="398"/>
        <v>0</v>
      </c>
      <c r="P1258" s="212">
        <f t="shared" si="399"/>
        <v>0</v>
      </c>
      <c r="Q1258" s="212">
        <f t="shared" si="400"/>
        <v>0</v>
      </c>
      <c r="R1258" s="45">
        <f t="shared" si="401"/>
        <v>0</v>
      </c>
      <c r="S1258" s="9"/>
    </row>
    <row r="1259" spans="2:19" x14ac:dyDescent="0.2">
      <c r="D1259" s="194" t="s">
        <v>154</v>
      </c>
      <c r="E1259" s="194"/>
      <c r="F1259" s="194"/>
      <c r="G1259" s="194"/>
      <c r="H1259" s="194"/>
      <c r="I1259" s="194"/>
      <c r="J1259" s="194"/>
      <c r="K1259" s="194"/>
      <c r="L1259" s="194"/>
      <c r="S1259" s="9"/>
    </row>
    <row r="1260" spans="2:19" x14ac:dyDescent="0.2">
      <c r="D1260" s="194"/>
      <c r="E1260" s="194"/>
      <c r="F1260" s="194"/>
      <c r="G1260" s="194"/>
      <c r="H1260" s="194"/>
      <c r="I1260" s="194"/>
      <c r="J1260" s="194"/>
      <c r="K1260" s="194"/>
      <c r="L1260" s="194"/>
      <c r="S1260" s="9"/>
    </row>
  </sheetData>
  <autoFilter ref="E1:E1260" xr:uid="{00000000-0001-0000-0100-000000000000}"/>
  <mergeCells count="130">
    <mergeCell ref="C1237:C1238"/>
    <mergeCell ref="C1247:C1252"/>
    <mergeCell ref="C1255:C1257"/>
    <mergeCell ref="C1036:C1038"/>
    <mergeCell ref="C1041:C1042"/>
    <mergeCell ref="C1051:C1053"/>
    <mergeCell ref="C1056:C1061"/>
    <mergeCell ref="C1064:C1075"/>
    <mergeCell ref="C1078:C1079"/>
    <mergeCell ref="C1082:C1085"/>
    <mergeCell ref="C1090:C1127"/>
    <mergeCell ref="C1134:C1151"/>
    <mergeCell ref="C1155:C1166"/>
    <mergeCell ref="C1170:C1174"/>
    <mergeCell ref="C1179:C1188"/>
    <mergeCell ref="C1194:C1197"/>
    <mergeCell ref="C1202:C1212"/>
    <mergeCell ref="C1215:C1219"/>
    <mergeCell ref="C1224:C1231"/>
    <mergeCell ref="C1005:C1020"/>
    <mergeCell ref="C941:C947"/>
    <mergeCell ref="C958:C968"/>
    <mergeCell ref="C27:C40"/>
    <mergeCell ref="C713:C716"/>
    <mergeCell ref="C728:C729"/>
    <mergeCell ref="C510:C515"/>
    <mergeCell ref="C516:C519"/>
    <mergeCell ref="C826:C853"/>
    <mergeCell ref="C925:C927"/>
    <mergeCell ref="C930:C934"/>
    <mergeCell ref="C937:C938"/>
    <mergeCell ref="C325:C328"/>
    <mergeCell ref="C330:C342"/>
    <mergeCell ref="C248:C251"/>
    <mergeCell ref="C379:C385"/>
    <mergeCell ref="C388:C390"/>
    <mergeCell ref="C350:C359"/>
    <mergeCell ref="C578:C584"/>
    <mergeCell ref="C696:C703"/>
    <mergeCell ref="C706:C707"/>
    <mergeCell ref="C244:C246"/>
    <mergeCell ref="C197:C203"/>
    <mergeCell ref="C205:C209"/>
    <mergeCell ref="C211:C216"/>
    <mergeCell ref="C170:C171"/>
    <mergeCell ref="J8:P8"/>
    <mergeCell ref="J9:P9"/>
    <mergeCell ref="C45:C49"/>
    <mergeCell ref="C53:C63"/>
    <mergeCell ref="C66:C67"/>
    <mergeCell ref="C93:C98"/>
    <mergeCell ref="C132:C134"/>
    <mergeCell ref="C121:C123"/>
    <mergeCell ref="C81:C88"/>
    <mergeCell ref="E15:I15"/>
    <mergeCell ref="E16:I16"/>
    <mergeCell ref="D15:D16"/>
    <mergeCell ref="C101:C118"/>
    <mergeCell ref="C137:C139"/>
    <mergeCell ref="C126:C129"/>
    <mergeCell ref="C365:C373"/>
    <mergeCell ref="C395:C418"/>
    <mergeCell ref="C432:C472"/>
    <mergeCell ref="C474:C489"/>
    <mergeCell ref="C275:C279"/>
    <mergeCell ref="C750:C754"/>
    <mergeCell ref="C421:C427"/>
    <mergeCell ref="C258:C264"/>
    <mergeCell ref="C253:C256"/>
    <mergeCell ref="C361:C362"/>
    <mergeCell ref="C287:C316"/>
    <mergeCell ref="C280:C282"/>
    <mergeCell ref="C320:C323"/>
    <mergeCell ref="C159:C160"/>
    <mergeCell ref="C172:C177"/>
    <mergeCell ref="C505:C507"/>
    <mergeCell ref="C145:C150"/>
    <mergeCell ref="C218:C219"/>
    <mergeCell ref="C221:C224"/>
    <mergeCell ref="C226:C231"/>
    <mergeCell ref="C233:C242"/>
    <mergeCell ref="C187:C195"/>
    <mergeCell ref="D1259:L1260"/>
    <mergeCell ref="C884:C902"/>
    <mergeCell ref="C950:C952"/>
    <mergeCell ref="C859:C881"/>
    <mergeCell ref="C791:C792"/>
    <mergeCell ref="C801:C807"/>
    <mergeCell ref="C492:C494"/>
    <mergeCell ref="C524:C545"/>
    <mergeCell ref="C550:C556"/>
    <mergeCell ref="C667:C693"/>
    <mergeCell ref="C745:C748"/>
    <mergeCell ref="C732:C734"/>
    <mergeCell ref="C600:C658"/>
    <mergeCell ref="C565:C567"/>
    <mergeCell ref="C559:C562"/>
    <mergeCell ref="C498:C503"/>
    <mergeCell ref="C818:C820"/>
    <mergeCell ref="C777:C783"/>
    <mergeCell ref="C770:C776"/>
    <mergeCell ref="C760:C769"/>
    <mergeCell ref="C786:C788"/>
    <mergeCell ref="C813:C815"/>
    <mergeCell ref="C974:C1001"/>
    <mergeCell ref="C905:C922"/>
    <mergeCell ref="B2:R2"/>
    <mergeCell ref="B17:B18"/>
    <mergeCell ref="E17:E18"/>
    <mergeCell ref="D17:D18"/>
    <mergeCell ref="G17:I17"/>
    <mergeCell ref="R17:R18"/>
    <mergeCell ref="J17:P17"/>
    <mergeCell ref="Q17:Q18"/>
    <mergeCell ref="C17:C18"/>
    <mergeCell ref="B15:C16"/>
    <mergeCell ref="B14:C14"/>
    <mergeCell ref="J14:R14"/>
    <mergeCell ref="E14:I14"/>
    <mergeCell ref="F17:F18"/>
    <mergeCell ref="J3:R3"/>
    <mergeCell ref="J10:P10"/>
    <mergeCell ref="J4:P4"/>
    <mergeCell ref="J5:P5"/>
    <mergeCell ref="J6:P6"/>
    <mergeCell ref="J15:R16"/>
    <mergeCell ref="J11:P11"/>
    <mergeCell ref="J12:P12"/>
    <mergeCell ref="J13:P13"/>
    <mergeCell ref="J7:P7"/>
  </mergeCells>
  <phoneticPr fontId="0" type="noConversion"/>
  <conditionalFormatting sqref="R21:R23 R76:R89 R156:R265 R267:R343 R345:R391 R548:R574 R590:R659 R661:R738 R740:R821 R823:R969 R971:R1021 R91:R154 R393:R546 R1034:R1220">
    <cfRule type="cellIs" dxfId="5" priority="49" operator="greaterThan">
      <formula>0</formula>
    </cfRule>
  </conditionalFormatting>
  <conditionalFormatting sqref="R25:R41">
    <cfRule type="cellIs" dxfId="4" priority="6" operator="greaterThan">
      <formula>0</formula>
    </cfRule>
  </conditionalFormatting>
  <conditionalFormatting sqref="R43:R74">
    <cfRule type="cellIs" dxfId="3" priority="5" operator="greaterThan">
      <formula>0</formula>
    </cfRule>
  </conditionalFormatting>
  <conditionalFormatting sqref="R576:R588">
    <cfRule type="cellIs" dxfId="2" priority="4" operator="greaterThan">
      <formula>0</formula>
    </cfRule>
  </conditionalFormatting>
  <conditionalFormatting sqref="R1023:R1032">
    <cfRule type="cellIs" dxfId="1" priority="3" operator="greaterThan">
      <formula>0</formula>
    </cfRule>
  </conditionalFormatting>
  <conditionalFormatting sqref="R1222:R1258">
    <cfRule type="cellIs" dxfId="0" priority="1" operator="greaterThan">
      <formula>0</formula>
    </cfRule>
  </conditionalFormatting>
  <printOptions horizontalCentered="1"/>
  <pageMargins left="0.25" right="0.25" top="0.375" bottom="0.375" header="0.25" footer="0.25"/>
  <pageSetup paperSize="9" scale="63" fitToHeight="0" orientation="landscape" horizontalDpi="300" verticalDpi="300" r:id="rId1"/>
  <headerFooter alignWithMargins="0">
    <oddFooter>&amp;R&amp;"Arial,Bold"&amp;P of &amp;N</oddFooter>
  </headerFooter>
  <colBreaks count="1" manualBreakCount="1">
    <brk id="10"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C6B60F-8513-419D-8AF7-AA9520F603BE}">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GENERAL SUMMARY</vt:lpstr>
      <vt:lpstr>DETAILED ESTIMATE</vt:lpstr>
      <vt:lpstr>'DETAILED ESTIMATE'!Print_Area</vt:lpstr>
      <vt:lpstr>'GENERAL SUMMARY'!Print_Area</vt:lpstr>
      <vt:lpstr>'DETAILED ESTIMATE'!Print_Titles</vt:lpstr>
      <vt:lpstr>'GENERAL SUMMARY'!Print_Titles</vt:lpstr>
    </vt:vector>
  </TitlesOfParts>
  <LinksUpToDate>false</LinksUpToDate>
  <SharedDoc>false</SharedDoc>
  <HyperlinkBase>www.4Clicks.com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Printed>2021-03-26T10:51:37Z</cp:lastPrinted>
  <dcterms:created xsi:type="dcterms:W3CDTF">1998-02-12T14:30:11Z</dcterms:created>
  <dcterms:modified xsi:type="dcterms:W3CDTF">2026-10-09T11:01:45Z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{1FC6B60F-8513-419D-8AF7-AA9520F603BE}</vt:lpwstr>
  </property>
</Properties>
</file>